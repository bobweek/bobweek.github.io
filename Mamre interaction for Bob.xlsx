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7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pauw/Documents/Moegistorhynchus/Tube and proboscis length variation/Modeling/Cang/"/>
    </mc:Choice>
  </mc:AlternateContent>
  <bookViews>
    <workbookView xWindow="3240" yWindow="460" windowWidth="24800" windowHeight="16060" tabRatio="500"/>
  </bookViews>
  <sheets>
    <sheet name="PRELIMINARY ANALYSIS" sheetId="1" r:id="rId1"/>
  </sheets>
  <definedNames>
    <definedName name="_xlnm._FilterDatabase" localSheetId="0" hidden="1">'PRELIMINARY ANALYSIS'!$I$1:$K$82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82" i="1" l="1"/>
  <c r="L82" i="1"/>
  <c r="Q82" i="1"/>
  <c r="R82" i="1"/>
  <c r="P82" i="1"/>
  <c r="E82" i="1"/>
  <c r="N82" i="1"/>
  <c r="M82" i="1"/>
  <c r="J81" i="1"/>
  <c r="L81" i="1"/>
  <c r="Q81" i="1"/>
  <c r="R81" i="1"/>
  <c r="P81" i="1"/>
  <c r="E81" i="1"/>
  <c r="N81" i="1"/>
  <c r="M81" i="1"/>
  <c r="J80" i="1"/>
  <c r="L80" i="1"/>
  <c r="Q80" i="1"/>
  <c r="R80" i="1"/>
  <c r="P80" i="1"/>
  <c r="E80" i="1"/>
  <c r="N80" i="1"/>
  <c r="M80" i="1"/>
  <c r="J79" i="1"/>
  <c r="L79" i="1"/>
  <c r="Q79" i="1"/>
  <c r="R79" i="1"/>
  <c r="P79" i="1"/>
  <c r="E79" i="1"/>
  <c r="N79" i="1"/>
  <c r="M79" i="1"/>
  <c r="J78" i="1"/>
  <c r="L78" i="1"/>
  <c r="Q78" i="1"/>
  <c r="R78" i="1"/>
  <c r="P78" i="1"/>
  <c r="E78" i="1"/>
  <c r="N78" i="1"/>
  <c r="M78" i="1"/>
  <c r="J77" i="1"/>
  <c r="L77" i="1"/>
  <c r="Q77" i="1"/>
  <c r="R77" i="1"/>
  <c r="P77" i="1"/>
  <c r="E77" i="1"/>
  <c r="N77" i="1"/>
  <c r="M77" i="1"/>
  <c r="J76" i="1"/>
  <c r="L76" i="1"/>
  <c r="Q76" i="1"/>
  <c r="R76" i="1"/>
  <c r="P76" i="1"/>
  <c r="E76" i="1"/>
  <c r="N76" i="1"/>
  <c r="M76" i="1"/>
  <c r="J75" i="1"/>
  <c r="L75" i="1"/>
  <c r="Q75" i="1"/>
  <c r="R75" i="1"/>
  <c r="P75" i="1"/>
  <c r="E75" i="1"/>
  <c r="N75" i="1"/>
  <c r="M75" i="1"/>
  <c r="J74" i="1"/>
  <c r="L74" i="1"/>
  <c r="Q74" i="1"/>
  <c r="R74" i="1"/>
  <c r="P74" i="1"/>
  <c r="E74" i="1"/>
  <c r="N74" i="1"/>
  <c r="M74" i="1"/>
  <c r="J73" i="1"/>
  <c r="L73" i="1"/>
  <c r="Q73" i="1"/>
  <c r="R73" i="1"/>
  <c r="P73" i="1"/>
  <c r="E73" i="1"/>
  <c r="N73" i="1"/>
  <c r="M73" i="1"/>
  <c r="J72" i="1"/>
  <c r="L72" i="1"/>
  <c r="Q72" i="1"/>
  <c r="R72" i="1"/>
  <c r="P72" i="1"/>
  <c r="E72" i="1"/>
  <c r="N72" i="1"/>
  <c r="M72" i="1"/>
  <c r="J71" i="1"/>
  <c r="L71" i="1"/>
  <c r="Q71" i="1"/>
  <c r="R71" i="1"/>
  <c r="P71" i="1"/>
  <c r="E71" i="1"/>
  <c r="N71" i="1"/>
  <c r="M71" i="1"/>
  <c r="J70" i="1"/>
  <c r="L70" i="1"/>
  <c r="Q70" i="1"/>
  <c r="R70" i="1"/>
  <c r="P70" i="1"/>
  <c r="E70" i="1"/>
  <c r="N70" i="1"/>
  <c r="M70" i="1"/>
  <c r="J69" i="1"/>
  <c r="L69" i="1"/>
  <c r="Q69" i="1"/>
  <c r="R69" i="1"/>
  <c r="P69" i="1"/>
  <c r="E69" i="1"/>
  <c r="N69" i="1"/>
  <c r="M69" i="1"/>
  <c r="J68" i="1"/>
  <c r="L68" i="1"/>
  <c r="Q68" i="1"/>
  <c r="R68" i="1"/>
  <c r="P68" i="1"/>
  <c r="E68" i="1"/>
  <c r="N68" i="1"/>
  <c r="M68" i="1"/>
  <c r="J67" i="1"/>
  <c r="L67" i="1"/>
  <c r="Q67" i="1"/>
  <c r="R67" i="1"/>
  <c r="P67" i="1"/>
  <c r="E67" i="1"/>
  <c r="N67" i="1"/>
  <c r="M67" i="1"/>
  <c r="J66" i="1"/>
  <c r="L66" i="1"/>
  <c r="Q66" i="1"/>
  <c r="R66" i="1"/>
  <c r="P66" i="1"/>
  <c r="E66" i="1"/>
  <c r="N66" i="1"/>
  <c r="M66" i="1"/>
  <c r="J65" i="1"/>
  <c r="L65" i="1"/>
  <c r="Q65" i="1"/>
  <c r="R65" i="1"/>
  <c r="P65" i="1"/>
  <c r="E65" i="1"/>
  <c r="N65" i="1"/>
  <c r="M65" i="1"/>
  <c r="J64" i="1"/>
  <c r="L64" i="1"/>
  <c r="Q64" i="1"/>
  <c r="R64" i="1"/>
  <c r="P64" i="1"/>
  <c r="E64" i="1"/>
  <c r="N64" i="1"/>
  <c r="M64" i="1"/>
  <c r="J63" i="1"/>
  <c r="L63" i="1"/>
  <c r="Q63" i="1"/>
  <c r="R63" i="1"/>
  <c r="P63" i="1"/>
  <c r="E63" i="1"/>
  <c r="N63" i="1"/>
  <c r="M63" i="1"/>
  <c r="J62" i="1"/>
  <c r="L62" i="1"/>
  <c r="Q62" i="1"/>
  <c r="R62" i="1"/>
  <c r="P62" i="1"/>
  <c r="E62" i="1"/>
  <c r="N62" i="1"/>
  <c r="M62" i="1"/>
  <c r="J61" i="1"/>
  <c r="L61" i="1"/>
  <c r="Q61" i="1"/>
  <c r="R61" i="1"/>
  <c r="P61" i="1"/>
  <c r="E61" i="1"/>
  <c r="N61" i="1"/>
  <c r="M61" i="1"/>
  <c r="J60" i="1"/>
  <c r="L60" i="1"/>
  <c r="Q60" i="1"/>
  <c r="R60" i="1"/>
  <c r="P60" i="1"/>
  <c r="E60" i="1"/>
  <c r="N60" i="1"/>
  <c r="M60" i="1"/>
  <c r="J59" i="1"/>
  <c r="L59" i="1"/>
  <c r="Q59" i="1"/>
  <c r="R59" i="1"/>
  <c r="P59" i="1"/>
  <c r="E59" i="1"/>
  <c r="N59" i="1"/>
  <c r="M59" i="1"/>
  <c r="J58" i="1"/>
  <c r="L58" i="1"/>
  <c r="Q58" i="1"/>
  <c r="R58" i="1"/>
  <c r="P58" i="1"/>
  <c r="E58" i="1"/>
  <c r="N58" i="1"/>
  <c r="M58" i="1"/>
  <c r="J57" i="1"/>
  <c r="L57" i="1"/>
  <c r="Q57" i="1"/>
  <c r="R57" i="1"/>
  <c r="P57" i="1"/>
  <c r="E57" i="1"/>
  <c r="N57" i="1"/>
  <c r="M57" i="1"/>
  <c r="J56" i="1"/>
  <c r="L56" i="1"/>
  <c r="Q56" i="1"/>
  <c r="R56" i="1"/>
  <c r="P56" i="1"/>
  <c r="E56" i="1"/>
  <c r="N56" i="1"/>
  <c r="M56" i="1"/>
  <c r="J55" i="1"/>
  <c r="L55" i="1"/>
  <c r="Q55" i="1"/>
  <c r="R55" i="1"/>
  <c r="P55" i="1"/>
  <c r="E55" i="1"/>
  <c r="N55" i="1"/>
  <c r="M55" i="1"/>
  <c r="J54" i="1"/>
  <c r="L54" i="1"/>
  <c r="Q54" i="1"/>
  <c r="R54" i="1"/>
  <c r="P54" i="1"/>
  <c r="E54" i="1"/>
  <c r="N54" i="1"/>
  <c r="M54" i="1"/>
  <c r="J53" i="1"/>
  <c r="L53" i="1"/>
  <c r="Q53" i="1"/>
  <c r="R53" i="1"/>
  <c r="P53" i="1"/>
  <c r="E53" i="1"/>
  <c r="N53" i="1"/>
  <c r="M53" i="1"/>
  <c r="J52" i="1"/>
  <c r="L52" i="1"/>
  <c r="Q52" i="1"/>
  <c r="R52" i="1"/>
  <c r="P52" i="1"/>
  <c r="E52" i="1"/>
  <c r="N52" i="1"/>
  <c r="M52" i="1"/>
  <c r="J51" i="1"/>
  <c r="L51" i="1"/>
  <c r="Q51" i="1"/>
  <c r="R51" i="1"/>
  <c r="P51" i="1"/>
  <c r="E51" i="1"/>
  <c r="N51" i="1"/>
  <c r="M51" i="1"/>
  <c r="J50" i="1"/>
  <c r="L50" i="1"/>
  <c r="Q50" i="1"/>
  <c r="R50" i="1"/>
  <c r="P50" i="1"/>
  <c r="E50" i="1"/>
  <c r="N50" i="1"/>
  <c r="M50" i="1"/>
  <c r="J49" i="1"/>
  <c r="L49" i="1"/>
  <c r="Q49" i="1"/>
  <c r="R49" i="1"/>
  <c r="P49" i="1"/>
  <c r="E49" i="1"/>
  <c r="N49" i="1"/>
  <c r="M49" i="1"/>
  <c r="J48" i="1"/>
  <c r="L48" i="1"/>
  <c r="Q48" i="1"/>
  <c r="R48" i="1"/>
  <c r="P48" i="1"/>
  <c r="E48" i="1"/>
  <c r="N48" i="1"/>
  <c r="M48" i="1"/>
  <c r="J47" i="1"/>
  <c r="L47" i="1"/>
  <c r="Q47" i="1"/>
  <c r="R47" i="1"/>
  <c r="P47" i="1"/>
  <c r="E47" i="1"/>
  <c r="N47" i="1"/>
  <c r="M47" i="1"/>
  <c r="J46" i="1"/>
  <c r="L46" i="1"/>
  <c r="Q46" i="1"/>
  <c r="R46" i="1"/>
  <c r="P46" i="1"/>
  <c r="E46" i="1"/>
  <c r="N46" i="1"/>
  <c r="M46" i="1"/>
  <c r="J45" i="1"/>
  <c r="L45" i="1"/>
  <c r="Q45" i="1"/>
  <c r="R45" i="1"/>
  <c r="P45" i="1"/>
  <c r="E45" i="1"/>
  <c r="N45" i="1"/>
  <c r="M45" i="1"/>
  <c r="J44" i="1"/>
  <c r="L44" i="1"/>
  <c r="Q44" i="1"/>
  <c r="R44" i="1"/>
  <c r="P44" i="1"/>
  <c r="E44" i="1"/>
  <c r="N44" i="1"/>
  <c r="M44" i="1"/>
  <c r="J43" i="1"/>
  <c r="L43" i="1"/>
  <c r="Q43" i="1"/>
  <c r="R43" i="1"/>
  <c r="P43" i="1"/>
  <c r="E43" i="1"/>
  <c r="N43" i="1"/>
  <c r="M43" i="1"/>
  <c r="J42" i="1"/>
  <c r="L42" i="1"/>
  <c r="Q42" i="1"/>
  <c r="R42" i="1"/>
  <c r="P42" i="1"/>
  <c r="E42" i="1"/>
  <c r="N42" i="1"/>
  <c r="M42" i="1"/>
  <c r="J41" i="1"/>
  <c r="L41" i="1"/>
  <c r="Q41" i="1"/>
  <c r="R41" i="1"/>
  <c r="P41" i="1"/>
  <c r="E41" i="1"/>
  <c r="N41" i="1"/>
  <c r="M41" i="1"/>
  <c r="J40" i="1"/>
  <c r="L40" i="1"/>
  <c r="Q40" i="1"/>
  <c r="R40" i="1"/>
  <c r="P40" i="1"/>
  <c r="E40" i="1"/>
  <c r="N40" i="1"/>
  <c r="M40" i="1"/>
  <c r="J39" i="1"/>
  <c r="L39" i="1"/>
  <c r="Q39" i="1"/>
  <c r="R39" i="1"/>
  <c r="P39" i="1"/>
  <c r="E39" i="1"/>
  <c r="N39" i="1"/>
  <c r="M39" i="1"/>
  <c r="J38" i="1"/>
  <c r="L38" i="1"/>
  <c r="Q38" i="1"/>
  <c r="R38" i="1"/>
  <c r="P38" i="1"/>
  <c r="E38" i="1"/>
  <c r="N38" i="1"/>
  <c r="M38" i="1"/>
  <c r="J37" i="1"/>
  <c r="L37" i="1"/>
  <c r="Q37" i="1"/>
  <c r="R37" i="1"/>
  <c r="P37" i="1"/>
  <c r="E37" i="1"/>
  <c r="N37" i="1"/>
  <c r="M37" i="1"/>
  <c r="J36" i="1"/>
  <c r="L36" i="1"/>
  <c r="Q36" i="1"/>
  <c r="R36" i="1"/>
  <c r="P36" i="1"/>
  <c r="E36" i="1"/>
  <c r="N36" i="1"/>
  <c r="M36" i="1"/>
  <c r="J35" i="1"/>
  <c r="L35" i="1"/>
  <c r="Q35" i="1"/>
  <c r="R35" i="1"/>
  <c r="P35" i="1"/>
  <c r="E35" i="1"/>
  <c r="N35" i="1"/>
  <c r="M35" i="1"/>
  <c r="J34" i="1"/>
  <c r="L34" i="1"/>
  <c r="Q34" i="1"/>
  <c r="R34" i="1"/>
  <c r="P34" i="1"/>
  <c r="E34" i="1"/>
  <c r="N34" i="1"/>
  <c r="M34" i="1"/>
  <c r="J33" i="1"/>
  <c r="L33" i="1"/>
  <c r="Q33" i="1"/>
  <c r="R33" i="1"/>
  <c r="P33" i="1"/>
  <c r="E33" i="1"/>
  <c r="N33" i="1"/>
  <c r="M33" i="1"/>
  <c r="J32" i="1"/>
  <c r="L32" i="1"/>
  <c r="Q32" i="1"/>
  <c r="R32" i="1"/>
  <c r="P32" i="1"/>
  <c r="E32" i="1"/>
  <c r="N32" i="1"/>
  <c r="M32" i="1"/>
  <c r="J31" i="1"/>
  <c r="L31" i="1"/>
  <c r="Q31" i="1"/>
  <c r="R31" i="1"/>
  <c r="P31" i="1"/>
  <c r="E31" i="1"/>
  <c r="N31" i="1"/>
  <c r="M31" i="1"/>
  <c r="J30" i="1"/>
  <c r="L30" i="1"/>
  <c r="Q30" i="1"/>
  <c r="R30" i="1"/>
  <c r="P30" i="1"/>
  <c r="E30" i="1"/>
  <c r="N30" i="1"/>
  <c r="M30" i="1"/>
  <c r="J29" i="1"/>
  <c r="L29" i="1"/>
  <c r="Q29" i="1"/>
  <c r="R29" i="1"/>
  <c r="P29" i="1"/>
  <c r="E29" i="1"/>
  <c r="N29" i="1"/>
  <c r="M29" i="1"/>
  <c r="J28" i="1"/>
  <c r="L28" i="1"/>
  <c r="Q28" i="1"/>
  <c r="R28" i="1"/>
  <c r="P28" i="1"/>
  <c r="E28" i="1"/>
  <c r="N28" i="1"/>
  <c r="M28" i="1"/>
  <c r="J27" i="1"/>
  <c r="L27" i="1"/>
  <c r="Q27" i="1"/>
  <c r="R27" i="1"/>
  <c r="P27" i="1"/>
  <c r="E27" i="1"/>
  <c r="N27" i="1"/>
  <c r="M27" i="1"/>
  <c r="J26" i="1"/>
  <c r="L26" i="1"/>
  <c r="Q26" i="1"/>
  <c r="R26" i="1"/>
  <c r="P26" i="1"/>
  <c r="E26" i="1"/>
  <c r="N26" i="1"/>
  <c r="M26" i="1"/>
  <c r="J25" i="1"/>
  <c r="L25" i="1"/>
  <c r="Q25" i="1"/>
  <c r="R25" i="1"/>
  <c r="P25" i="1"/>
  <c r="E25" i="1"/>
  <c r="N25" i="1"/>
  <c r="M25" i="1"/>
  <c r="J24" i="1"/>
  <c r="L24" i="1"/>
  <c r="Q24" i="1"/>
  <c r="R24" i="1"/>
  <c r="P24" i="1"/>
  <c r="E24" i="1"/>
  <c r="N24" i="1"/>
  <c r="M24" i="1"/>
  <c r="J23" i="1"/>
  <c r="L23" i="1"/>
  <c r="Q23" i="1"/>
  <c r="R23" i="1"/>
  <c r="P23" i="1"/>
  <c r="E23" i="1"/>
  <c r="N23" i="1"/>
  <c r="M23" i="1"/>
  <c r="J22" i="1"/>
  <c r="L22" i="1"/>
  <c r="Q22" i="1"/>
  <c r="R22" i="1"/>
  <c r="P22" i="1"/>
  <c r="E22" i="1"/>
  <c r="N22" i="1"/>
  <c r="M22" i="1"/>
  <c r="J21" i="1"/>
  <c r="L21" i="1"/>
  <c r="Q21" i="1"/>
  <c r="R21" i="1"/>
  <c r="P21" i="1"/>
  <c r="E21" i="1"/>
  <c r="N21" i="1"/>
  <c r="M21" i="1"/>
  <c r="J20" i="1"/>
  <c r="L20" i="1"/>
  <c r="Q20" i="1"/>
  <c r="R20" i="1"/>
  <c r="P20" i="1"/>
  <c r="E20" i="1"/>
  <c r="N20" i="1"/>
  <c r="M20" i="1"/>
  <c r="J19" i="1"/>
  <c r="L19" i="1"/>
  <c r="Q19" i="1"/>
  <c r="R19" i="1"/>
  <c r="P19" i="1"/>
  <c r="E19" i="1"/>
  <c r="N19" i="1"/>
  <c r="M19" i="1"/>
  <c r="J18" i="1"/>
  <c r="L18" i="1"/>
  <c r="Q18" i="1"/>
  <c r="R18" i="1"/>
  <c r="P18" i="1"/>
  <c r="E18" i="1"/>
  <c r="N18" i="1"/>
  <c r="M18" i="1"/>
  <c r="J17" i="1"/>
  <c r="L17" i="1"/>
  <c r="Q17" i="1"/>
  <c r="R17" i="1"/>
  <c r="P17" i="1"/>
  <c r="E17" i="1"/>
  <c r="N17" i="1"/>
  <c r="M17" i="1"/>
  <c r="J16" i="1"/>
  <c r="L16" i="1"/>
  <c r="Q16" i="1"/>
  <c r="R16" i="1"/>
  <c r="P16" i="1"/>
  <c r="E16" i="1"/>
  <c r="N16" i="1"/>
  <c r="M16" i="1"/>
  <c r="J15" i="1"/>
  <c r="L15" i="1"/>
  <c r="Q15" i="1"/>
  <c r="R15" i="1"/>
  <c r="P15" i="1"/>
  <c r="E15" i="1"/>
  <c r="N15" i="1"/>
  <c r="M15" i="1"/>
  <c r="J14" i="1"/>
  <c r="L14" i="1"/>
  <c r="Q14" i="1"/>
  <c r="R14" i="1"/>
  <c r="P14" i="1"/>
  <c r="E14" i="1"/>
  <c r="N14" i="1"/>
  <c r="M14" i="1"/>
  <c r="J13" i="1"/>
  <c r="L13" i="1"/>
  <c r="Q13" i="1"/>
  <c r="R13" i="1"/>
  <c r="P13" i="1"/>
  <c r="E13" i="1"/>
  <c r="N13" i="1"/>
  <c r="M13" i="1"/>
  <c r="J12" i="1"/>
  <c r="L12" i="1"/>
  <c r="Q12" i="1"/>
  <c r="R12" i="1"/>
  <c r="P12" i="1"/>
  <c r="E12" i="1"/>
  <c r="N12" i="1"/>
  <c r="M12" i="1"/>
  <c r="J11" i="1"/>
  <c r="L11" i="1"/>
  <c r="Q11" i="1"/>
  <c r="R11" i="1"/>
  <c r="P11" i="1"/>
  <c r="E11" i="1"/>
  <c r="N11" i="1"/>
  <c r="M11" i="1"/>
  <c r="J10" i="1"/>
  <c r="L10" i="1"/>
  <c r="Q10" i="1"/>
  <c r="R10" i="1"/>
  <c r="P10" i="1"/>
  <c r="E10" i="1"/>
  <c r="N10" i="1"/>
  <c r="M10" i="1"/>
  <c r="J9" i="1"/>
  <c r="L9" i="1"/>
  <c r="Q9" i="1"/>
  <c r="R9" i="1"/>
  <c r="P9" i="1"/>
  <c r="E9" i="1"/>
  <c r="N9" i="1"/>
  <c r="M9" i="1"/>
  <c r="J8" i="1"/>
  <c r="L8" i="1"/>
  <c r="Q8" i="1"/>
  <c r="R8" i="1"/>
  <c r="P8" i="1"/>
  <c r="E8" i="1"/>
  <c r="N8" i="1"/>
  <c r="M8" i="1"/>
  <c r="J7" i="1"/>
  <c r="L7" i="1"/>
  <c r="Q7" i="1"/>
  <c r="R7" i="1"/>
  <c r="P7" i="1"/>
  <c r="E7" i="1"/>
  <c r="N7" i="1"/>
  <c r="M7" i="1"/>
  <c r="J6" i="1"/>
  <c r="L6" i="1"/>
  <c r="Q6" i="1"/>
  <c r="R6" i="1"/>
  <c r="P6" i="1"/>
  <c r="E6" i="1"/>
  <c r="N6" i="1"/>
  <c r="M6" i="1"/>
  <c r="J5" i="1"/>
  <c r="L5" i="1"/>
  <c r="Q5" i="1"/>
  <c r="R5" i="1"/>
  <c r="P5" i="1"/>
  <c r="E5" i="1"/>
  <c r="N5" i="1"/>
  <c r="M5" i="1"/>
  <c r="J4" i="1"/>
  <c r="L4" i="1"/>
  <c r="Q4" i="1"/>
  <c r="R4" i="1"/>
  <c r="P4" i="1"/>
  <c r="E4" i="1"/>
  <c r="N4" i="1"/>
  <c r="M4" i="1"/>
  <c r="J3" i="1"/>
  <c r="L3" i="1"/>
  <c r="Q3" i="1"/>
  <c r="R3" i="1"/>
  <c r="P3" i="1"/>
  <c r="E3" i="1"/>
  <c r="N3" i="1"/>
  <c r="M3" i="1"/>
  <c r="J2" i="1"/>
  <c r="L2" i="1"/>
  <c r="Q2" i="1"/>
  <c r="R2" i="1"/>
  <c r="P2" i="1"/>
  <c r="E2" i="1"/>
  <c r="N2" i="1"/>
  <c r="M2" i="1"/>
</calcChain>
</file>

<file path=xl/comments1.xml><?xml version="1.0" encoding="utf-8"?>
<comments xmlns="http://schemas.openxmlformats.org/spreadsheetml/2006/main">
  <authors>
    <author>anon</author>
  </authors>
  <commentList>
    <comment ref="B35" authorId="0">
      <text>
        <r>
          <rPr>
            <b/>
            <sz val="8"/>
            <color indexed="81"/>
            <rFont val="Tahoma"/>
          </rPr>
          <t>SLIDE 62 REMOVED: TUBE DAMAGED</t>
        </r>
      </text>
    </comment>
    <comment ref="B43" authorId="0">
      <text>
        <r>
          <rPr>
            <b/>
            <sz val="8"/>
            <color indexed="81"/>
            <rFont val="Tahoma"/>
          </rPr>
          <t>SLIDE 77 REMOVED: FLY DID NOT PROBE SUCCESSFULLY</t>
        </r>
      </text>
    </comment>
    <comment ref="B70" authorId="0">
      <text>
        <r>
          <rPr>
            <b/>
            <sz val="8"/>
            <color indexed="81"/>
            <rFont val="Tahoma"/>
          </rPr>
          <t>SLIDE ONE REMOVED : DID NOT PROBE SUCCESSFULLY</t>
        </r>
      </text>
    </comment>
  </commentList>
</comments>
</file>

<file path=xl/sharedStrings.xml><?xml version="1.0" encoding="utf-8"?>
<sst xmlns="http://schemas.openxmlformats.org/spreadsheetml/2006/main" count="180" uniqueCount="24">
  <si>
    <t>DATE</t>
  </si>
  <si>
    <t>SLIDE_NUMBER</t>
  </si>
  <si>
    <t>FLY_ID</t>
  </si>
  <si>
    <t>FLY_TONGUE_LENGTH</t>
  </si>
  <si>
    <t>TONGUE_LENGTH_EXTENDED</t>
  </si>
  <si>
    <t>WING_LENGTH</t>
  </si>
  <si>
    <t>SEX</t>
  </si>
  <si>
    <t>NECTAR_TUBE_LENGTH</t>
  </si>
  <si>
    <t>NECTAR_HEIGHT_BEFORE</t>
  </si>
  <si>
    <t>nectar_volume_before</t>
  </si>
  <si>
    <t>NECTAR_HEIGHT_AFTER</t>
  </si>
  <si>
    <t>nectar_volume_after</t>
  </si>
  <si>
    <t>TONGUE-TUBE</t>
  </si>
  <si>
    <t>EXTENDED TONGUE-TUBE</t>
  </si>
  <si>
    <t>POLLEN_GRAINS_DEPOSITED</t>
  </si>
  <si>
    <t>NECTAR_CONSUMED_(mm)</t>
  </si>
  <si>
    <t>nectar_volume_consumed</t>
  </si>
  <si>
    <t>PERCENTAGE_NECTAR_CONSUMED</t>
  </si>
  <si>
    <t>25/10/2006</t>
  </si>
  <si>
    <t>f</t>
  </si>
  <si>
    <t>23/10/2006</t>
  </si>
  <si>
    <t>m</t>
  </si>
  <si>
    <t>26/10/2006</t>
  </si>
  <si>
    <t>27/10/2006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</si>
</sst>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name val="Verdan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82"/>
  <sheetViews>
    <sheetView tabSelected="1" zoomScale="125" workbookViewId="0">
      <pane ySplit="1" topLeftCell="A2" activePane="bottomLeft" state="frozen"/>
      <selection pane="bottomLeft" activeCell="R2" sqref="R2"/>
    </sheetView>
  </sheetViews>
  <sheetFormatPr baseColWidth="10" defaultColWidth="7.6640625" defaultRowHeight="13" x14ac:dyDescent="0.15"/>
  <cols>
    <col min="1" max="1" width="10.1640625" customWidth="1"/>
    <col min="2" max="2" width="15.5" customWidth="1"/>
    <col min="3" max="3" width="7.1640625" customWidth="1"/>
    <col min="4" max="4" width="21.83203125" customWidth="1"/>
    <col min="5" max="5" width="28.33203125" customWidth="1"/>
    <col min="6" max="6" width="14.5" customWidth="1"/>
    <col min="7" max="7" width="4.5" customWidth="1"/>
    <col min="8" max="8" width="21.1640625" bestFit="1" customWidth="1"/>
    <col min="9" max="9" width="23.1640625" bestFit="1" customWidth="1"/>
    <col min="10" max="10" width="25.33203125" customWidth="1"/>
    <col min="11" max="12" width="23.5" customWidth="1"/>
    <col min="13" max="13" width="14.33203125" customWidth="1"/>
    <col min="14" max="14" width="23" bestFit="1" customWidth="1"/>
    <col min="15" max="15" width="25.83203125" bestFit="1" customWidth="1"/>
    <col min="16" max="16" width="23.6640625" bestFit="1" customWidth="1"/>
    <col min="17" max="17" width="21" bestFit="1" customWidth="1"/>
    <col min="18" max="18" width="31.1640625" bestFit="1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18</v>
      </c>
      <c r="B2">
        <v>20</v>
      </c>
      <c r="C2">
        <v>11</v>
      </c>
      <c r="D2">
        <v>42</v>
      </c>
      <c r="E2">
        <f t="shared" ref="E2:E65" si="0">1.0498*D2 + 3.3047</f>
        <v>47.396299999999997</v>
      </c>
      <c r="F2">
        <v>16.5</v>
      </c>
      <c r="G2" t="s">
        <v>19</v>
      </c>
      <c r="H2">
        <v>48.5</v>
      </c>
      <c r="I2">
        <v>5</v>
      </c>
      <c r="J2">
        <f t="shared" ref="J2:J65" si="1">0.064+0.056*I2+0.008*I2*I2</f>
        <v>0.54400000000000004</v>
      </c>
      <c r="K2">
        <v>0</v>
      </c>
      <c r="L2">
        <f t="shared" ref="L2:L65" si="2">0.064+0.056*K2+0.008*K2*K2</f>
        <v>6.4000000000000001E-2</v>
      </c>
      <c r="M2">
        <f t="shared" ref="M2:M65" si="3">D2-H2</f>
        <v>-6.5</v>
      </c>
      <c r="N2">
        <f t="shared" ref="N2:N65" si="4">E2-H2</f>
        <v>-1.1037000000000035</v>
      </c>
      <c r="O2">
        <v>10</v>
      </c>
      <c r="P2">
        <f t="shared" ref="P2:Q33" si="5">I2-K2</f>
        <v>5</v>
      </c>
      <c r="Q2">
        <f t="shared" si="5"/>
        <v>0.48000000000000004</v>
      </c>
      <c r="R2">
        <f t="shared" ref="R2:R65" si="6">(I2-K2)/I2*100</f>
        <v>100</v>
      </c>
    </row>
    <row r="3" spans="1:18" x14ac:dyDescent="0.15">
      <c r="A3" t="s">
        <v>18</v>
      </c>
      <c r="B3">
        <v>22</v>
      </c>
      <c r="C3">
        <v>11</v>
      </c>
      <c r="D3">
        <v>42</v>
      </c>
      <c r="E3">
        <f t="shared" si="0"/>
        <v>47.396299999999997</v>
      </c>
      <c r="F3">
        <v>16.5</v>
      </c>
      <c r="G3" t="s">
        <v>19</v>
      </c>
      <c r="H3">
        <v>49</v>
      </c>
      <c r="I3">
        <v>11.5</v>
      </c>
      <c r="J3">
        <f t="shared" si="1"/>
        <v>1.766</v>
      </c>
      <c r="K3">
        <v>0</v>
      </c>
      <c r="L3">
        <f t="shared" si="2"/>
        <v>6.4000000000000001E-2</v>
      </c>
      <c r="M3">
        <f t="shared" si="3"/>
        <v>-7</v>
      </c>
      <c r="N3">
        <f t="shared" si="4"/>
        <v>-1.6037000000000035</v>
      </c>
      <c r="O3">
        <v>8</v>
      </c>
      <c r="P3">
        <f t="shared" si="5"/>
        <v>11.5</v>
      </c>
      <c r="Q3">
        <f t="shared" si="5"/>
        <v>1.702</v>
      </c>
      <c r="R3">
        <f t="shared" si="6"/>
        <v>100</v>
      </c>
    </row>
    <row r="4" spans="1:18" x14ac:dyDescent="0.15">
      <c r="A4" t="s">
        <v>18</v>
      </c>
      <c r="B4">
        <v>21</v>
      </c>
      <c r="C4">
        <v>11</v>
      </c>
      <c r="D4">
        <v>42</v>
      </c>
      <c r="E4">
        <f t="shared" si="0"/>
        <v>47.396299999999997</v>
      </c>
      <c r="F4">
        <v>16.5</v>
      </c>
      <c r="G4" t="s">
        <v>19</v>
      </c>
      <c r="H4">
        <v>50.5</v>
      </c>
      <c r="I4">
        <v>11</v>
      </c>
      <c r="J4">
        <f t="shared" si="1"/>
        <v>1.6479999999999999</v>
      </c>
      <c r="K4">
        <v>3</v>
      </c>
      <c r="L4">
        <f t="shared" si="2"/>
        <v>0.30400000000000005</v>
      </c>
      <c r="M4">
        <f t="shared" si="3"/>
        <v>-8.5</v>
      </c>
      <c r="N4">
        <f t="shared" si="4"/>
        <v>-3.1037000000000035</v>
      </c>
      <c r="O4">
        <v>7</v>
      </c>
      <c r="P4">
        <f t="shared" si="5"/>
        <v>8</v>
      </c>
      <c r="Q4">
        <f t="shared" si="5"/>
        <v>1.3439999999999999</v>
      </c>
      <c r="R4">
        <f t="shared" si="6"/>
        <v>72.727272727272734</v>
      </c>
    </row>
    <row r="5" spans="1:18" x14ac:dyDescent="0.15">
      <c r="A5" t="s">
        <v>18</v>
      </c>
      <c r="B5">
        <v>19</v>
      </c>
      <c r="C5">
        <v>11</v>
      </c>
      <c r="D5">
        <v>42</v>
      </c>
      <c r="E5">
        <f t="shared" si="0"/>
        <v>47.396299999999997</v>
      </c>
      <c r="F5">
        <v>16.5</v>
      </c>
      <c r="G5" t="s">
        <v>19</v>
      </c>
      <c r="H5">
        <v>55</v>
      </c>
      <c r="I5">
        <v>9</v>
      </c>
      <c r="J5">
        <f t="shared" si="1"/>
        <v>1.2160000000000002</v>
      </c>
      <c r="K5">
        <v>6</v>
      </c>
      <c r="L5">
        <f t="shared" si="2"/>
        <v>0.68800000000000006</v>
      </c>
      <c r="M5">
        <f t="shared" si="3"/>
        <v>-13</v>
      </c>
      <c r="N5">
        <f t="shared" si="4"/>
        <v>-7.6037000000000035</v>
      </c>
      <c r="O5">
        <v>6</v>
      </c>
      <c r="P5">
        <f t="shared" si="5"/>
        <v>3</v>
      </c>
      <c r="Q5">
        <f t="shared" si="5"/>
        <v>0.52800000000000014</v>
      </c>
      <c r="R5">
        <f t="shared" si="6"/>
        <v>33.333333333333329</v>
      </c>
    </row>
    <row r="6" spans="1:18" x14ac:dyDescent="0.15">
      <c r="A6" t="s">
        <v>18</v>
      </c>
      <c r="B6">
        <v>23</v>
      </c>
      <c r="C6">
        <v>11</v>
      </c>
      <c r="D6">
        <v>42</v>
      </c>
      <c r="E6">
        <f t="shared" si="0"/>
        <v>47.396299999999997</v>
      </c>
      <c r="F6">
        <v>16.5</v>
      </c>
      <c r="G6" t="s">
        <v>19</v>
      </c>
      <c r="H6">
        <v>59</v>
      </c>
      <c r="I6">
        <v>8.5</v>
      </c>
      <c r="J6">
        <f t="shared" si="1"/>
        <v>1.1180000000000001</v>
      </c>
      <c r="K6">
        <v>8.5</v>
      </c>
      <c r="L6">
        <f t="shared" si="2"/>
        <v>1.1180000000000001</v>
      </c>
      <c r="M6">
        <f t="shared" si="3"/>
        <v>-17</v>
      </c>
      <c r="N6">
        <f t="shared" si="4"/>
        <v>-11.603700000000003</v>
      </c>
      <c r="O6">
        <v>2</v>
      </c>
      <c r="P6">
        <f t="shared" si="5"/>
        <v>0</v>
      </c>
      <c r="Q6">
        <f t="shared" si="5"/>
        <v>0</v>
      </c>
      <c r="R6">
        <f t="shared" si="6"/>
        <v>0</v>
      </c>
    </row>
    <row r="7" spans="1:18" x14ac:dyDescent="0.15">
      <c r="A7" t="s">
        <v>20</v>
      </c>
      <c r="B7">
        <v>7</v>
      </c>
      <c r="C7">
        <v>4</v>
      </c>
      <c r="D7">
        <v>44.5</v>
      </c>
      <c r="E7">
        <f t="shared" si="0"/>
        <v>50.020800000000001</v>
      </c>
      <c r="F7">
        <v>14.5</v>
      </c>
      <c r="G7" t="s">
        <v>21</v>
      </c>
      <c r="H7">
        <v>55</v>
      </c>
      <c r="I7">
        <v>5</v>
      </c>
      <c r="J7">
        <f t="shared" si="1"/>
        <v>0.54400000000000004</v>
      </c>
      <c r="K7">
        <v>4.5</v>
      </c>
      <c r="L7">
        <f t="shared" si="2"/>
        <v>0.47800000000000004</v>
      </c>
      <c r="M7">
        <f t="shared" si="3"/>
        <v>-10.5</v>
      </c>
      <c r="N7">
        <f t="shared" si="4"/>
        <v>-4.9791999999999987</v>
      </c>
      <c r="O7">
        <v>6</v>
      </c>
      <c r="P7">
        <f t="shared" si="5"/>
        <v>0.5</v>
      </c>
      <c r="Q7">
        <f t="shared" si="5"/>
        <v>6.6000000000000003E-2</v>
      </c>
      <c r="R7">
        <f t="shared" si="6"/>
        <v>10</v>
      </c>
    </row>
    <row r="8" spans="1:18" x14ac:dyDescent="0.15">
      <c r="A8" t="s">
        <v>20</v>
      </c>
      <c r="B8">
        <v>9</v>
      </c>
      <c r="C8">
        <v>4</v>
      </c>
      <c r="D8">
        <v>44.5</v>
      </c>
      <c r="E8">
        <f t="shared" si="0"/>
        <v>50.020800000000001</v>
      </c>
      <c r="F8">
        <v>15.5</v>
      </c>
      <c r="G8" t="s">
        <v>21</v>
      </c>
      <c r="H8">
        <v>55.5</v>
      </c>
      <c r="I8">
        <v>5</v>
      </c>
      <c r="J8">
        <f t="shared" si="1"/>
        <v>0.54400000000000004</v>
      </c>
      <c r="K8">
        <v>5</v>
      </c>
      <c r="L8">
        <f t="shared" si="2"/>
        <v>0.54400000000000004</v>
      </c>
      <c r="M8">
        <f t="shared" si="3"/>
        <v>-11</v>
      </c>
      <c r="N8">
        <f t="shared" si="4"/>
        <v>-5.4791999999999987</v>
      </c>
      <c r="O8">
        <v>44</v>
      </c>
      <c r="P8">
        <f t="shared" si="5"/>
        <v>0</v>
      </c>
      <c r="Q8">
        <f t="shared" si="5"/>
        <v>0</v>
      </c>
      <c r="R8">
        <f t="shared" si="6"/>
        <v>0</v>
      </c>
    </row>
    <row r="9" spans="1:18" x14ac:dyDescent="0.15">
      <c r="A9" t="s">
        <v>22</v>
      </c>
      <c r="B9">
        <v>52</v>
      </c>
      <c r="C9">
        <v>23</v>
      </c>
      <c r="D9">
        <v>45</v>
      </c>
      <c r="E9">
        <f t="shared" si="0"/>
        <v>50.545699999999997</v>
      </c>
      <c r="F9">
        <v>16.5</v>
      </c>
      <c r="G9" t="s">
        <v>21</v>
      </c>
      <c r="H9">
        <v>51</v>
      </c>
      <c r="I9">
        <v>4.5</v>
      </c>
      <c r="J9">
        <f t="shared" si="1"/>
        <v>0.47800000000000004</v>
      </c>
      <c r="K9">
        <v>0</v>
      </c>
      <c r="L9">
        <f t="shared" si="2"/>
        <v>6.4000000000000001E-2</v>
      </c>
      <c r="M9">
        <f t="shared" si="3"/>
        <v>-6</v>
      </c>
      <c r="N9">
        <f t="shared" si="4"/>
        <v>-0.45430000000000348</v>
      </c>
      <c r="O9">
        <v>216</v>
      </c>
      <c r="P9">
        <f t="shared" si="5"/>
        <v>4.5</v>
      </c>
      <c r="Q9">
        <f t="shared" si="5"/>
        <v>0.41400000000000003</v>
      </c>
      <c r="R9">
        <f t="shared" si="6"/>
        <v>100</v>
      </c>
    </row>
    <row r="10" spans="1:18" x14ac:dyDescent="0.15">
      <c r="A10" t="s">
        <v>23</v>
      </c>
      <c r="B10">
        <v>85</v>
      </c>
      <c r="C10">
        <v>24</v>
      </c>
      <c r="D10">
        <v>45.5</v>
      </c>
      <c r="E10">
        <f t="shared" si="0"/>
        <v>51.070599999999999</v>
      </c>
      <c r="F10">
        <v>16</v>
      </c>
      <c r="G10" t="s">
        <v>19</v>
      </c>
      <c r="H10">
        <v>42.5</v>
      </c>
      <c r="I10">
        <v>5</v>
      </c>
      <c r="J10">
        <f t="shared" si="1"/>
        <v>0.54400000000000004</v>
      </c>
      <c r="K10">
        <v>0</v>
      </c>
      <c r="L10">
        <f t="shared" si="2"/>
        <v>6.4000000000000001E-2</v>
      </c>
      <c r="M10">
        <f t="shared" si="3"/>
        <v>3</v>
      </c>
      <c r="N10">
        <f t="shared" si="4"/>
        <v>8.5705999999999989</v>
      </c>
      <c r="O10">
        <v>3</v>
      </c>
      <c r="P10">
        <f t="shared" si="5"/>
        <v>5</v>
      </c>
      <c r="Q10">
        <f>J10-L10</f>
        <v>0.48000000000000004</v>
      </c>
      <c r="R10">
        <f t="shared" si="6"/>
        <v>100</v>
      </c>
    </row>
    <row r="11" spans="1:18" x14ac:dyDescent="0.15">
      <c r="A11" t="s">
        <v>22</v>
      </c>
      <c r="B11">
        <v>47</v>
      </c>
      <c r="C11">
        <v>20</v>
      </c>
      <c r="D11">
        <v>45.5</v>
      </c>
      <c r="E11">
        <f t="shared" si="0"/>
        <v>51.070599999999999</v>
      </c>
      <c r="F11">
        <v>17.5</v>
      </c>
      <c r="G11" t="s">
        <v>19</v>
      </c>
      <c r="H11">
        <v>48.5</v>
      </c>
      <c r="I11">
        <v>16.5</v>
      </c>
      <c r="J11">
        <f t="shared" si="1"/>
        <v>3.1659999999999999</v>
      </c>
      <c r="K11">
        <v>3.5</v>
      </c>
      <c r="L11">
        <f t="shared" si="2"/>
        <v>0.35799999999999998</v>
      </c>
      <c r="M11">
        <f t="shared" si="3"/>
        <v>-3</v>
      </c>
      <c r="N11">
        <f t="shared" si="4"/>
        <v>2.5705999999999989</v>
      </c>
      <c r="O11">
        <v>71</v>
      </c>
      <c r="P11">
        <f t="shared" si="5"/>
        <v>13</v>
      </c>
      <c r="Q11">
        <f t="shared" si="5"/>
        <v>2.8079999999999998</v>
      </c>
      <c r="R11">
        <f t="shared" si="6"/>
        <v>78.787878787878782</v>
      </c>
    </row>
    <row r="12" spans="1:18" x14ac:dyDescent="0.15">
      <c r="A12" t="s">
        <v>22</v>
      </c>
      <c r="B12">
        <v>59</v>
      </c>
      <c r="C12">
        <v>24</v>
      </c>
      <c r="D12">
        <v>45.5</v>
      </c>
      <c r="E12">
        <f t="shared" si="0"/>
        <v>51.070599999999999</v>
      </c>
      <c r="F12">
        <v>16</v>
      </c>
      <c r="G12" t="s">
        <v>19</v>
      </c>
      <c r="H12">
        <v>48.5</v>
      </c>
      <c r="I12">
        <v>5</v>
      </c>
      <c r="J12">
        <f t="shared" si="1"/>
        <v>0.54400000000000004</v>
      </c>
      <c r="K12">
        <v>1.5</v>
      </c>
      <c r="L12">
        <f t="shared" si="2"/>
        <v>0.16600000000000004</v>
      </c>
      <c r="M12">
        <f t="shared" si="3"/>
        <v>-3</v>
      </c>
      <c r="N12">
        <f t="shared" si="4"/>
        <v>2.5705999999999989</v>
      </c>
      <c r="O12">
        <v>106</v>
      </c>
      <c r="P12">
        <f t="shared" si="5"/>
        <v>3.5</v>
      </c>
      <c r="Q12">
        <f t="shared" si="5"/>
        <v>0.378</v>
      </c>
      <c r="R12">
        <f t="shared" si="6"/>
        <v>70</v>
      </c>
    </row>
    <row r="13" spans="1:18" x14ac:dyDescent="0.15">
      <c r="A13" t="s">
        <v>22</v>
      </c>
      <c r="B13">
        <v>40</v>
      </c>
      <c r="C13">
        <v>18</v>
      </c>
      <c r="D13">
        <v>45.5</v>
      </c>
      <c r="E13">
        <f t="shared" si="0"/>
        <v>51.070599999999999</v>
      </c>
      <c r="F13">
        <v>16.5</v>
      </c>
      <c r="G13" t="s">
        <v>19</v>
      </c>
      <c r="H13">
        <v>50</v>
      </c>
      <c r="I13">
        <v>4</v>
      </c>
      <c r="J13">
        <f t="shared" si="1"/>
        <v>0.41600000000000004</v>
      </c>
      <c r="K13">
        <v>1</v>
      </c>
      <c r="L13">
        <f t="shared" si="2"/>
        <v>0.128</v>
      </c>
      <c r="M13">
        <f t="shared" si="3"/>
        <v>-4.5</v>
      </c>
      <c r="N13">
        <f t="shared" si="4"/>
        <v>1.0705999999999989</v>
      </c>
      <c r="O13">
        <v>127</v>
      </c>
      <c r="P13">
        <f t="shared" si="5"/>
        <v>3</v>
      </c>
      <c r="Q13">
        <f t="shared" si="5"/>
        <v>0.28800000000000003</v>
      </c>
      <c r="R13">
        <f t="shared" si="6"/>
        <v>75</v>
      </c>
    </row>
    <row r="14" spans="1:18" x14ac:dyDescent="0.15">
      <c r="A14" t="s">
        <v>22</v>
      </c>
      <c r="B14">
        <v>58</v>
      </c>
      <c r="C14">
        <v>24</v>
      </c>
      <c r="D14">
        <v>45.5</v>
      </c>
      <c r="E14">
        <f t="shared" si="0"/>
        <v>51.070599999999999</v>
      </c>
      <c r="F14">
        <v>16</v>
      </c>
      <c r="G14" t="s">
        <v>19</v>
      </c>
      <c r="H14">
        <v>51.5</v>
      </c>
      <c r="I14">
        <v>6.5</v>
      </c>
      <c r="J14">
        <f t="shared" si="1"/>
        <v>0.76600000000000001</v>
      </c>
      <c r="K14">
        <v>6.5</v>
      </c>
      <c r="L14">
        <f t="shared" si="2"/>
        <v>0.76600000000000001</v>
      </c>
      <c r="M14">
        <f t="shared" si="3"/>
        <v>-6</v>
      </c>
      <c r="N14">
        <f t="shared" si="4"/>
        <v>-0.42940000000000111</v>
      </c>
      <c r="O14">
        <v>0</v>
      </c>
      <c r="P14">
        <f t="shared" si="5"/>
        <v>0</v>
      </c>
      <c r="Q14">
        <f t="shared" si="5"/>
        <v>0</v>
      </c>
      <c r="R14">
        <f t="shared" si="6"/>
        <v>0</v>
      </c>
    </row>
    <row r="15" spans="1:18" x14ac:dyDescent="0.15">
      <c r="A15" t="s">
        <v>18</v>
      </c>
      <c r="B15">
        <v>28</v>
      </c>
      <c r="C15">
        <v>12</v>
      </c>
      <c r="D15">
        <v>45.5</v>
      </c>
      <c r="E15">
        <f t="shared" si="0"/>
        <v>51.070599999999999</v>
      </c>
      <c r="F15">
        <v>17</v>
      </c>
      <c r="G15" t="s">
        <v>21</v>
      </c>
      <c r="H15">
        <v>52</v>
      </c>
      <c r="I15">
        <v>12.5</v>
      </c>
      <c r="J15">
        <f t="shared" si="1"/>
        <v>2.0140000000000002</v>
      </c>
      <c r="K15">
        <v>3.5</v>
      </c>
      <c r="L15">
        <f t="shared" si="2"/>
        <v>0.35799999999999998</v>
      </c>
      <c r="M15">
        <f t="shared" si="3"/>
        <v>-6.5</v>
      </c>
      <c r="N15">
        <f t="shared" si="4"/>
        <v>-0.92940000000000111</v>
      </c>
      <c r="O15">
        <v>129</v>
      </c>
      <c r="P15">
        <f t="shared" si="5"/>
        <v>9</v>
      </c>
      <c r="Q15">
        <f t="shared" si="5"/>
        <v>1.6560000000000001</v>
      </c>
      <c r="R15">
        <f t="shared" si="6"/>
        <v>72</v>
      </c>
    </row>
    <row r="16" spans="1:18" x14ac:dyDescent="0.15">
      <c r="A16" t="s">
        <v>22</v>
      </c>
      <c r="B16">
        <v>48</v>
      </c>
      <c r="C16">
        <v>20</v>
      </c>
      <c r="D16">
        <v>45.5</v>
      </c>
      <c r="E16">
        <f t="shared" si="0"/>
        <v>51.070599999999999</v>
      </c>
      <c r="F16">
        <v>17.5</v>
      </c>
      <c r="G16" t="s">
        <v>19</v>
      </c>
      <c r="H16">
        <v>60</v>
      </c>
      <c r="I16">
        <v>7.5</v>
      </c>
      <c r="J16">
        <f t="shared" si="1"/>
        <v>0.93399999999999994</v>
      </c>
      <c r="K16">
        <v>7.5</v>
      </c>
      <c r="L16">
        <f t="shared" si="2"/>
        <v>0.93399999999999994</v>
      </c>
      <c r="M16">
        <f t="shared" si="3"/>
        <v>-14.5</v>
      </c>
      <c r="N16">
        <f t="shared" si="4"/>
        <v>-8.9294000000000011</v>
      </c>
      <c r="O16">
        <v>67</v>
      </c>
      <c r="P16">
        <f t="shared" si="5"/>
        <v>0</v>
      </c>
      <c r="Q16">
        <f t="shared" si="5"/>
        <v>0</v>
      </c>
      <c r="R16">
        <f t="shared" si="6"/>
        <v>0</v>
      </c>
    </row>
    <row r="17" spans="1:18" x14ac:dyDescent="0.15">
      <c r="A17" t="s">
        <v>23</v>
      </c>
      <c r="B17">
        <v>74</v>
      </c>
      <c r="C17">
        <v>33</v>
      </c>
      <c r="D17">
        <v>46</v>
      </c>
      <c r="E17">
        <f t="shared" si="0"/>
        <v>51.595500000000001</v>
      </c>
      <c r="F17">
        <v>15</v>
      </c>
      <c r="G17" t="s">
        <v>21</v>
      </c>
      <c r="H17">
        <v>45.5</v>
      </c>
      <c r="I17">
        <v>2.5</v>
      </c>
      <c r="J17">
        <f t="shared" si="1"/>
        <v>0.254</v>
      </c>
      <c r="K17">
        <v>0</v>
      </c>
      <c r="L17">
        <f t="shared" si="2"/>
        <v>6.4000000000000001E-2</v>
      </c>
      <c r="M17">
        <f t="shared" si="3"/>
        <v>0.5</v>
      </c>
      <c r="N17">
        <f t="shared" si="4"/>
        <v>6.0955000000000013</v>
      </c>
      <c r="O17">
        <v>61</v>
      </c>
      <c r="P17">
        <f t="shared" si="5"/>
        <v>2.5</v>
      </c>
      <c r="Q17">
        <f t="shared" si="5"/>
        <v>0.19</v>
      </c>
      <c r="R17">
        <f t="shared" si="6"/>
        <v>100</v>
      </c>
    </row>
    <row r="18" spans="1:18" x14ac:dyDescent="0.15">
      <c r="A18" t="s">
        <v>22</v>
      </c>
      <c r="B18">
        <v>55</v>
      </c>
      <c r="C18">
        <v>17</v>
      </c>
      <c r="D18">
        <v>46</v>
      </c>
      <c r="E18">
        <f t="shared" si="0"/>
        <v>51.595500000000001</v>
      </c>
      <c r="F18">
        <v>16</v>
      </c>
      <c r="G18" t="s">
        <v>21</v>
      </c>
      <c r="H18">
        <v>47</v>
      </c>
      <c r="I18">
        <v>4.5</v>
      </c>
      <c r="J18">
        <f t="shared" si="1"/>
        <v>0.47800000000000004</v>
      </c>
      <c r="K18">
        <v>3</v>
      </c>
      <c r="L18">
        <f t="shared" si="2"/>
        <v>0.30400000000000005</v>
      </c>
      <c r="M18">
        <f t="shared" si="3"/>
        <v>-1</v>
      </c>
      <c r="N18">
        <f t="shared" si="4"/>
        <v>4.5955000000000013</v>
      </c>
      <c r="O18">
        <v>8</v>
      </c>
      <c r="P18">
        <f t="shared" si="5"/>
        <v>1.5</v>
      </c>
      <c r="Q18">
        <f t="shared" si="5"/>
        <v>0.17399999999999999</v>
      </c>
      <c r="R18">
        <f t="shared" si="6"/>
        <v>33.333333333333329</v>
      </c>
    </row>
    <row r="19" spans="1:18" x14ac:dyDescent="0.15">
      <c r="A19" t="s">
        <v>22</v>
      </c>
      <c r="B19">
        <v>54</v>
      </c>
      <c r="C19">
        <v>17</v>
      </c>
      <c r="D19">
        <v>46</v>
      </c>
      <c r="E19">
        <f t="shared" si="0"/>
        <v>51.595500000000001</v>
      </c>
      <c r="F19">
        <v>16</v>
      </c>
      <c r="G19" t="s">
        <v>21</v>
      </c>
      <c r="H19">
        <v>52.5</v>
      </c>
      <c r="I19">
        <v>6</v>
      </c>
      <c r="J19">
        <f t="shared" si="1"/>
        <v>0.68800000000000006</v>
      </c>
      <c r="K19">
        <v>3.5</v>
      </c>
      <c r="L19">
        <f t="shared" si="2"/>
        <v>0.35799999999999998</v>
      </c>
      <c r="M19">
        <f t="shared" si="3"/>
        <v>-6.5</v>
      </c>
      <c r="N19">
        <f t="shared" si="4"/>
        <v>-0.90449999999999875</v>
      </c>
      <c r="O19">
        <v>117</v>
      </c>
      <c r="P19">
        <f t="shared" si="5"/>
        <v>2.5</v>
      </c>
      <c r="Q19">
        <f t="shared" si="5"/>
        <v>0.33000000000000007</v>
      </c>
      <c r="R19">
        <f t="shared" si="6"/>
        <v>41.666666666666671</v>
      </c>
    </row>
    <row r="20" spans="1:18" x14ac:dyDescent="0.15">
      <c r="A20" t="s">
        <v>22</v>
      </c>
      <c r="B20">
        <v>39</v>
      </c>
      <c r="C20">
        <v>17</v>
      </c>
      <c r="D20">
        <v>46</v>
      </c>
      <c r="E20">
        <f t="shared" si="0"/>
        <v>51.595500000000001</v>
      </c>
      <c r="F20">
        <v>16.5</v>
      </c>
      <c r="G20" t="s">
        <v>21</v>
      </c>
      <c r="H20">
        <v>53.5</v>
      </c>
      <c r="I20">
        <v>5</v>
      </c>
      <c r="J20">
        <f t="shared" si="1"/>
        <v>0.54400000000000004</v>
      </c>
      <c r="K20">
        <v>5</v>
      </c>
      <c r="L20">
        <f t="shared" si="2"/>
        <v>0.54400000000000004</v>
      </c>
      <c r="M20">
        <f t="shared" si="3"/>
        <v>-7.5</v>
      </c>
      <c r="N20">
        <f t="shared" si="4"/>
        <v>-1.9044999999999987</v>
      </c>
      <c r="O20">
        <v>84</v>
      </c>
      <c r="P20">
        <f t="shared" si="5"/>
        <v>0</v>
      </c>
      <c r="Q20">
        <f t="shared" si="5"/>
        <v>0</v>
      </c>
      <c r="R20">
        <f t="shared" si="6"/>
        <v>0</v>
      </c>
    </row>
    <row r="21" spans="1:18" x14ac:dyDescent="0.15">
      <c r="A21" t="s">
        <v>23</v>
      </c>
      <c r="B21">
        <v>75</v>
      </c>
      <c r="C21">
        <v>33</v>
      </c>
      <c r="D21">
        <v>46</v>
      </c>
      <c r="E21">
        <f t="shared" si="0"/>
        <v>51.595500000000001</v>
      </c>
      <c r="F21">
        <v>15</v>
      </c>
      <c r="G21" t="s">
        <v>21</v>
      </c>
      <c r="H21">
        <v>58</v>
      </c>
      <c r="I21">
        <v>7</v>
      </c>
      <c r="J21">
        <f t="shared" si="1"/>
        <v>0.84800000000000009</v>
      </c>
      <c r="K21">
        <v>7</v>
      </c>
      <c r="L21">
        <f t="shared" si="2"/>
        <v>0.84800000000000009</v>
      </c>
      <c r="M21">
        <f t="shared" si="3"/>
        <v>-12</v>
      </c>
      <c r="N21">
        <f t="shared" si="4"/>
        <v>-6.4044999999999987</v>
      </c>
      <c r="O21">
        <v>79</v>
      </c>
      <c r="P21">
        <f t="shared" si="5"/>
        <v>0</v>
      </c>
      <c r="Q21">
        <f t="shared" si="5"/>
        <v>0</v>
      </c>
      <c r="R21">
        <f t="shared" si="6"/>
        <v>0</v>
      </c>
    </row>
    <row r="22" spans="1:18" x14ac:dyDescent="0.15">
      <c r="A22" t="s">
        <v>23</v>
      </c>
      <c r="B22">
        <v>105</v>
      </c>
      <c r="C22">
        <v>45</v>
      </c>
      <c r="D22">
        <v>46</v>
      </c>
      <c r="E22">
        <f t="shared" si="0"/>
        <v>51.595500000000001</v>
      </c>
      <c r="F22">
        <v>17</v>
      </c>
      <c r="G22" t="s">
        <v>21</v>
      </c>
      <c r="H22">
        <v>63</v>
      </c>
      <c r="I22">
        <v>11.5</v>
      </c>
      <c r="J22">
        <f t="shared" si="1"/>
        <v>1.766</v>
      </c>
      <c r="K22">
        <v>11.5</v>
      </c>
      <c r="L22">
        <f t="shared" si="2"/>
        <v>1.766</v>
      </c>
      <c r="M22">
        <f t="shared" si="3"/>
        <v>-17</v>
      </c>
      <c r="N22">
        <f t="shared" si="4"/>
        <v>-11.404499999999999</v>
      </c>
      <c r="O22">
        <v>205</v>
      </c>
      <c r="P22">
        <f t="shared" si="5"/>
        <v>0</v>
      </c>
      <c r="Q22">
        <f t="shared" si="5"/>
        <v>0</v>
      </c>
      <c r="R22">
        <f t="shared" si="6"/>
        <v>0</v>
      </c>
    </row>
    <row r="23" spans="1:18" x14ac:dyDescent="0.15">
      <c r="A23" t="s">
        <v>18</v>
      </c>
      <c r="B23">
        <v>38</v>
      </c>
      <c r="C23">
        <v>16</v>
      </c>
      <c r="D23">
        <v>46</v>
      </c>
      <c r="E23">
        <f t="shared" si="0"/>
        <v>51.595500000000001</v>
      </c>
      <c r="F23">
        <v>16</v>
      </c>
      <c r="G23" t="s">
        <v>21</v>
      </c>
      <c r="H23">
        <v>64.5</v>
      </c>
      <c r="I23">
        <v>14.5</v>
      </c>
      <c r="J23">
        <f t="shared" si="1"/>
        <v>2.5580000000000003</v>
      </c>
      <c r="K23">
        <v>14.5</v>
      </c>
      <c r="L23">
        <f t="shared" si="2"/>
        <v>2.5580000000000003</v>
      </c>
      <c r="M23">
        <f t="shared" si="3"/>
        <v>-18.5</v>
      </c>
      <c r="N23">
        <f t="shared" si="4"/>
        <v>-12.904499999999999</v>
      </c>
      <c r="O23">
        <v>33</v>
      </c>
      <c r="P23">
        <f t="shared" si="5"/>
        <v>0</v>
      </c>
      <c r="Q23">
        <f t="shared" si="5"/>
        <v>0</v>
      </c>
      <c r="R23">
        <f t="shared" si="6"/>
        <v>0</v>
      </c>
    </row>
    <row r="24" spans="1:18" x14ac:dyDescent="0.15">
      <c r="A24" t="s">
        <v>23</v>
      </c>
      <c r="B24">
        <v>81</v>
      </c>
      <c r="C24">
        <v>36</v>
      </c>
      <c r="D24">
        <v>46.5</v>
      </c>
      <c r="E24">
        <f t="shared" si="0"/>
        <v>52.120399999999997</v>
      </c>
      <c r="F24">
        <v>16</v>
      </c>
      <c r="G24" t="s">
        <v>21</v>
      </c>
      <c r="H24">
        <v>48.5</v>
      </c>
      <c r="I24">
        <v>4.5</v>
      </c>
      <c r="J24">
        <f t="shared" si="1"/>
        <v>0.47800000000000004</v>
      </c>
      <c r="K24">
        <v>0</v>
      </c>
      <c r="L24">
        <f t="shared" si="2"/>
        <v>6.4000000000000001E-2</v>
      </c>
      <c r="M24">
        <f t="shared" si="3"/>
        <v>-2</v>
      </c>
      <c r="N24">
        <f t="shared" si="4"/>
        <v>3.6203999999999965</v>
      </c>
      <c r="O24">
        <v>2</v>
      </c>
      <c r="P24">
        <f t="shared" si="5"/>
        <v>4.5</v>
      </c>
      <c r="Q24">
        <f t="shared" si="5"/>
        <v>0.41400000000000003</v>
      </c>
      <c r="R24">
        <f t="shared" si="6"/>
        <v>100</v>
      </c>
    </row>
    <row r="25" spans="1:18" x14ac:dyDescent="0.15">
      <c r="A25" t="s">
        <v>23</v>
      </c>
      <c r="B25">
        <v>80</v>
      </c>
      <c r="C25">
        <v>36</v>
      </c>
      <c r="D25">
        <v>46.5</v>
      </c>
      <c r="E25">
        <f t="shared" si="0"/>
        <v>52.120399999999997</v>
      </c>
      <c r="F25">
        <v>16</v>
      </c>
      <c r="G25" t="s">
        <v>21</v>
      </c>
      <c r="H25">
        <v>56.5</v>
      </c>
      <c r="I25">
        <v>12.5</v>
      </c>
      <c r="J25">
        <f t="shared" si="1"/>
        <v>2.0140000000000002</v>
      </c>
      <c r="K25">
        <v>5</v>
      </c>
      <c r="L25">
        <f t="shared" si="2"/>
        <v>0.54400000000000004</v>
      </c>
      <c r="M25">
        <f t="shared" si="3"/>
        <v>-10</v>
      </c>
      <c r="N25">
        <f t="shared" si="4"/>
        <v>-4.3796000000000035</v>
      </c>
      <c r="O25">
        <v>104</v>
      </c>
      <c r="P25">
        <f t="shared" si="5"/>
        <v>7.5</v>
      </c>
      <c r="Q25">
        <f t="shared" si="5"/>
        <v>1.4700000000000002</v>
      </c>
      <c r="R25">
        <f t="shared" si="6"/>
        <v>60</v>
      </c>
    </row>
    <row r="26" spans="1:18" x14ac:dyDescent="0.15">
      <c r="A26" t="s">
        <v>23</v>
      </c>
      <c r="B26">
        <v>83</v>
      </c>
      <c r="C26">
        <v>36</v>
      </c>
      <c r="D26">
        <v>47</v>
      </c>
      <c r="E26">
        <f t="shared" si="0"/>
        <v>52.645299999999999</v>
      </c>
      <c r="F26">
        <v>16</v>
      </c>
      <c r="G26" t="s">
        <v>21</v>
      </c>
      <c r="H26">
        <v>40.5</v>
      </c>
      <c r="I26">
        <v>4.5</v>
      </c>
      <c r="J26">
        <f t="shared" si="1"/>
        <v>0.47800000000000004</v>
      </c>
      <c r="K26">
        <v>0</v>
      </c>
      <c r="L26">
        <f t="shared" si="2"/>
        <v>6.4000000000000001E-2</v>
      </c>
      <c r="M26">
        <f t="shared" si="3"/>
        <v>6.5</v>
      </c>
      <c r="N26">
        <f t="shared" si="4"/>
        <v>12.145299999999999</v>
      </c>
      <c r="O26">
        <v>0</v>
      </c>
      <c r="P26">
        <f t="shared" si="5"/>
        <v>4.5</v>
      </c>
      <c r="Q26">
        <f t="shared" si="5"/>
        <v>0.41400000000000003</v>
      </c>
      <c r="R26">
        <f t="shared" si="6"/>
        <v>100</v>
      </c>
    </row>
    <row r="27" spans="1:18" x14ac:dyDescent="0.15">
      <c r="A27" t="s">
        <v>18</v>
      </c>
      <c r="B27">
        <v>18</v>
      </c>
      <c r="C27">
        <v>10</v>
      </c>
      <c r="D27">
        <v>47</v>
      </c>
      <c r="E27">
        <f t="shared" si="0"/>
        <v>52.645299999999999</v>
      </c>
      <c r="F27">
        <v>15</v>
      </c>
      <c r="G27" t="s">
        <v>21</v>
      </c>
      <c r="H27">
        <v>42.5</v>
      </c>
      <c r="I27">
        <v>12.5</v>
      </c>
      <c r="J27">
        <f t="shared" si="1"/>
        <v>2.0140000000000002</v>
      </c>
      <c r="K27">
        <v>0</v>
      </c>
      <c r="L27">
        <f t="shared" si="2"/>
        <v>6.4000000000000001E-2</v>
      </c>
      <c r="M27">
        <f t="shared" si="3"/>
        <v>4.5</v>
      </c>
      <c r="N27">
        <f t="shared" si="4"/>
        <v>10.145299999999999</v>
      </c>
      <c r="O27">
        <v>26</v>
      </c>
      <c r="P27">
        <f t="shared" si="5"/>
        <v>12.5</v>
      </c>
      <c r="Q27">
        <f t="shared" si="5"/>
        <v>1.9500000000000002</v>
      </c>
      <c r="R27">
        <f t="shared" si="6"/>
        <v>100</v>
      </c>
    </row>
    <row r="28" spans="1:18" x14ac:dyDescent="0.15">
      <c r="A28" t="s">
        <v>23</v>
      </c>
      <c r="B28">
        <v>84</v>
      </c>
      <c r="C28">
        <v>36</v>
      </c>
      <c r="D28">
        <v>47</v>
      </c>
      <c r="E28">
        <f t="shared" si="0"/>
        <v>52.645299999999999</v>
      </c>
      <c r="F28">
        <v>16</v>
      </c>
      <c r="G28" t="s">
        <v>21</v>
      </c>
      <c r="H28">
        <v>46</v>
      </c>
      <c r="I28">
        <v>3.5</v>
      </c>
      <c r="J28">
        <f t="shared" si="1"/>
        <v>0.35799999999999998</v>
      </c>
      <c r="K28">
        <v>0</v>
      </c>
      <c r="L28">
        <f t="shared" si="2"/>
        <v>6.4000000000000001E-2</v>
      </c>
      <c r="M28">
        <f t="shared" si="3"/>
        <v>1</v>
      </c>
      <c r="N28">
        <f t="shared" si="4"/>
        <v>6.6452999999999989</v>
      </c>
      <c r="O28">
        <v>1</v>
      </c>
      <c r="P28">
        <f t="shared" si="5"/>
        <v>3.5</v>
      </c>
      <c r="Q28">
        <f t="shared" si="5"/>
        <v>0.29399999999999998</v>
      </c>
      <c r="R28">
        <f t="shared" si="6"/>
        <v>100</v>
      </c>
    </row>
    <row r="29" spans="1:18" x14ac:dyDescent="0.15">
      <c r="A29" t="s">
        <v>23</v>
      </c>
      <c r="B29">
        <v>72</v>
      </c>
      <c r="C29">
        <v>32</v>
      </c>
      <c r="D29">
        <v>47</v>
      </c>
      <c r="E29">
        <f t="shared" si="0"/>
        <v>52.645299999999999</v>
      </c>
      <c r="F29">
        <v>16.5</v>
      </c>
      <c r="G29" t="s">
        <v>21</v>
      </c>
      <c r="H29">
        <v>47.5</v>
      </c>
      <c r="I29">
        <v>12.5</v>
      </c>
      <c r="J29">
        <f t="shared" si="1"/>
        <v>2.0140000000000002</v>
      </c>
      <c r="K29">
        <v>0</v>
      </c>
      <c r="L29">
        <f t="shared" si="2"/>
        <v>6.4000000000000001E-2</v>
      </c>
      <c r="M29">
        <f t="shared" si="3"/>
        <v>-0.5</v>
      </c>
      <c r="N29">
        <f t="shared" si="4"/>
        <v>5.1452999999999989</v>
      </c>
      <c r="O29">
        <v>0</v>
      </c>
      <c r="P29">
        <f t="shared" si="5"/>
        <v>12.5</v>
      </c>
      <c r="Q29">
        <f t="shared" si="5"/>
        <v>1.9500000000000002</v>
      </c>
      <c r="R29">
        <f t="shared" si="6"/>
        <v>100</v>
      </c>
    </row>
    <row r="30" spans="1:18" x14ac:dyDescent="0.15">
      <c r="A30" t="s">
        <v>18</v>
      </c>
      <c r="B30">
        <v>17</v>
      </c>
      <c r="C30">
        <v>10</v>
      </c>
      <c r="D30">
        <v>47</v>
      </c>
      <c r="E30">
        <f t="shared" si="0"/>
        <v>52.645299999999999</v>
      </c>
      <c r="F30">
        <v>15</v>
      </c>
      <c r="G30" t="s">
        <v>21</v>
      </c>
      <c r="H30">
        <v>48</v>
      </c>
      <c r="I30">
        <v>11</v>
      </c>
      <c r="J30">
        <f t="shared" si="1"/>
        <v>1.6479999999999999</v>
      </c>
      <c r="K30">
        <v>0</v>
      </c>
      <c r="L30">
        <f t="shared" si="2"/>
        <v>6.4000000000000001E-2</v>
      </c>
      <c r="M30">
        <f t="shared" si="3"/>
        <v>-1</v>
      </c>
      <c r="N30">
        <f t="shared" si="4"/>
        <v>4.6452999999999989</v>
      </c>
      <c r="O30">
        <v>42</v>
      </c>
      <c r="P30">
        <f t="shared" si="5"/>
        <v>11</v>
      </c>
      <c r="Q30">
        <f t="shared" si="5"/>
        <v>1.5839999999999999</v>
      </c>
      <c r="R30">
        <f t="shared" si="6"/>
        <v>100</v>
      </c>
    </row>
    <row r="31" spans="1:18" x14ac:dyDescent="0.15">
      <c r="A31" t="s">
        <v>22</v>
      </c>
      <c r="B31">
        <v>61</v>
      </c>
      <c r="C31">
        <v>26</v>
      </c>
      <c r="D31">
        <v>47</v>
      </c>
      <c r="E31">
        <f t="shared" si="0"/>
        <v>52.645299999999999</v>
      </c>
      <c r="F31">
        <v>16.5</v>
      </c>
      <c r="G31" t="s">
        <v>21</v>
      </c>
      <c r="H31">
        <v>57</v>
      </c>
      <c r="I31">
        <v>11</v>
      </c>
      <c r="J31">
        <f t="shared" si="1"/>
        <v>1.6479999999999999</v>
      </c>
      <c r="K31">
        <v>6</v>
      </c>
      <c r="L31">
        <f t="shared" si="2"/>
        <v>0.68800000000000006</v>
      </c>
      <c r="M31">
        <f t="shared" si="3"/>
        <v>-10</v>
      </c>
      <c r="N31">
        <f t="shared" si="4"/>
        <v>-4.3547000000000011</v>
      </c>
      <c r="O31">
        <v>108</v>
      </c>
      <c r="P31">
        <f t="shared" si="5"/>
        <v>5</v>
      </c>
      <c r="Q31">
        <f t="shared" si="5"/>
        <v>0.95999999999999985</v>
      </c>
      <c r="R31">
        <f t="shared" si="6"/>
        <v>45.454545454545453</v>
      </c>
    </row>
    <row r="32" spans="1:18" x14ac:dyDescent="0.15">
      <c r="A32" t="s">
        <v>23</v>
      </c>
      <c r="B32">
        <v>89</v>
      </c>
      <c r="C32">
        <v>39</v>
      </c>
      <c r="D32">
        <v>47</v>
      </c>
      <c r="E32">
        <f t="shared" si="0"/>
        <v>52.645299999999999</v>
      </c>
      <c r="F32">
        <v>16</v>
      </c>
      <c r="G32" t="s">
        <v>21</v>
      </c>
      <c r="H32">
        <v>59</v>
      </c>
      <c r="I32">
        <v>19</v>
      </c>
      <c r="J32">
        <f t="shared" si="1"/>
        <v>4.016</v>
      </c>
      <c r="K32">
        <v>6</v>
      </c>
      <c r="L32">
        <f t="shared" si="2"/>
        <v>0.68800000000000006</v>
      </c>
      <c r="M32">
        <f t="shared" si="3"/>
        <v>-12</v>
      </c>
      <c r="N32">
        <f t="shared" si="4"/>
        <v>-6.3547000000000011</v>
      </c>
      <c r="O32">
        <v>115</v>
      </c>
      <c r="P32">
        <f t="shared" si="5"/>
        <v>13</v>
      </c>
      <c r="Q32">
        <f t="shared" si="5"/>
        <v>3.3279999999999998</v>
      </c>
      <c r="R32">
        <f t="shared" si="6"/>
        <v>68.421052631578945</v>
      </c>
    </row>
    <row r="33" spans="1:18" x14ac:dyDescent="0.15">
      <c r="A33" t="s">
        <v>22</v>
      </c>
      <c r="B33">
        <v>68</v>
      </c>
      <c r="C33">
        <v>30</v>
      </c>
      <c r="D33">
        <v>47</v>
      </c>
      <c r="E33">
        <f t="shared" si="0"/>
        <v>52.645299999999999</v>
      </c>
      <c r="F33">
        <v>15.5</v>
      </c>
      <c r="G33" t="s">
        <v>21</v>
      </c>
      <c r="H33">
        <v>62</v>
      </c>
      <c r="I33">
        <v>9</v>
      </c>
      <c r="J33">
        <f t="shared" si="1"/>
        <v>1.2160000000000002</v>
      </c>
      <c r="K33">
        <v>9</v>
      </c>
      <c r="L33">
        <f t="shared" si="2"/>
        <v>1.2160000000000002</v>
      </c>
      <c r="M33">
        <f t="shared" si="3"/>
        <v>-15</v>
      </c>
      <c r="N33">
        <f t="shared" si="4"/>
        <v>-9.3547000000000011</v>
      </c>
      <c r="O33">
        <v>91</v>
      </c>
      <c r="P33">
        <f t="shared" si="5"/>
        <v>0</v>
      </c>
      <c r="Q33">
        <f t="shared" si="5"/>
        <v>0</v>
      </c>
      <c r="R33">
        <f t="shared" si="6"/>
        <v>0</v>
      </c>
    </row>
    <row r="34" spans="1:18" x14ac:dyDescent="0.15">
      <c r="A34" t="s">
        <v>23</v>
      </c>
      <c r="B34">
        <v>71</v>
      </c>
      <c r="C34">
        <v>32</v>
      </c>
      <c r="D34">
        <v>47</v>
      </c>
      <c r="E34">
        <f t="shared" si="0"/>
        <v>52.645299999999999</v>
      </c>
      <c r="F34">
        <v>16.5</v>
      </c>
      <c r="G34" t="s">
        <v>21</v>
      </c>
      <c r="H34">
        <v>63.5</v>
      </c>
      <c r="I34">
        <v>15</v>
      </c>
      <c r="J34">
        <f t="shared" si="1"/>
        <v>2.7039999999999997</v>
      </c>
      <c r="K34">
        <v>13.5</v>
      </c>
      <c r="L34">
        <f t="shared" si="2"/>
        <v>2.278</v>
      </c>
      <c r="M34">
        <f t="shared" si="3"/>
        <v>-16.5</v>
      </c>
      <c r="N34">
        <f t="shared" si="4"/>
        <v>-10.854700000000001</v>
      </c>
      <c r="O34">
        <v>122</v>
      </c>
      <c r="P34">
        <f t="shared" ref="P34:Q65" si="7">I34-K34</f>
        <v>1.5</v>
      </c>
      <c r="Q34">
        <f t="shared" si="7"/>
        <v>0.42599999999999971</v>
      </c>
      <c r="R34">
        <f t="shared" si="6"/>
        <v>10</v>
      </c>
    </row>
    <row r="35" spans="1:18" x14ac:dyDescent="0.15">
      <c r="A35" t="s">
        <v>22</v>
      </c>
      <c r="B35">
        <v>63</v>
      </c>
      <c r="C35">
        <v>26</v>
      </c>
      <c r="D35">
        <v>47.5</v>
      </c>
      <c r="E35">
        <f t="shared" si="0"/>
        <v>53.170200000000001</v>
      </c>
      <c r="F35">
        <v>16.5</v>
      </c>
      <c r="G35" t="s">
        <v>21</v>
      </c>
      <c r="H35">
        <v>44</v>
      </c>
      <c r="I35">
        <v>7.5</v>
      </c>
      <c r="J35">
        <f t="shared" si="1"/>
        <v>0.93399999999999994</v>
      </c>
      <c r="K35">
        <v>0</v>
      </c>
      <c r="L35">
        <f t="shared" si="2"/>
        <v>6.4000000000000001E-2</v>
      </c>
      <c r="M35">
        <f t="shared" si="3"/>
        <v>3.5</v>
      </c>
      <c r="N35">
        <f t="shared" si="4"/>
        <v>9.1702000000000012</v>
      </c>
      <c r="O35">
        <v>9</v>
      </c>
      <c r="P35">
        <f t="shared" si="7"/>
        <v>7.5</v>
      </c>
      <c r="Q35">
        <f t="shared" si="7"/>
        <v>0.86999999999999988</v>
      </c>
      <c r="R35">
        <f t="shared" si="6"/>
        <v>100</v>
      </c>
    </row>
    <row r="36" spans="1:18" x14ac:dyDescent="0.15">
      <c r="A36" t="s">
        <v>18</v>
      </c>
      <c r="B36">
        <v>13</v>
      </c>
      <c r="C36">
        <v>7</v>
      </c>
      <c r="D36">
        <v>47.5</v>
      </c>
      <c r="E36">
        <f t="shared" si="0"/>
        <v>53.170200000000001</v>
      </c>
      <c r="F36">
        <v>16</v>
      </c>
      <c r="G36" t="s">
        <v>19</v>
      </c>
      <c r="H36">
        <v>47</v>
      </c>
      <c r="I36">
        <v>10.5</v>
      </c>
      <c r="J36">
        <f t="shared" si="1"/>
        <v>1.5339999999999998</v>
      </c>
      <c r="K36">
        <v>0</v>
      </c>
      <c r="L36">
        <f t="shared" si="2"/>
        <v>6.4000000000000001E-2</v>
      </c>
      <c r="M36">
        <f t="shared" si="3"/>
        <v>0.5</v>
      </c>
      <c r="N36">
        <f t="shared" si="4"/>
        <v>6.1702000000000012</v>
      </c>
      <c r="O36">
        <v>12</v>
      </c>
      <c r="P36">
        <f t="shared" si="7"/>
        <v>10.5</v>
      </c>
      <c r="Q36">
        <f t="shared" si="7"/>
        <v>1.4699999999999998</v>
      </c>
      <c r="R36">
        <f t="shared" si="6"/>
        <v>100</v>
      </c>
    </row>
    <row r="37" spans="1:18" x14ac:dyDescent="0.15">
      <c r="A37" t="s">
        <v>18</v>
      </c>
      <c r="B37">
        <v>14</v>
      </c>
      <c r="C37">
        <v>7</v>
      </c>
      <c r="D37">
        <v>47.5</v>
      </c>
      <c r="E37">
        <f t="shared" si="0"/>
        <v>53.170200000000001</v>
      </c>
      <c r="F37">
        <v>16</v>
      </c>
      <c r="G37" t="s">
        <v>19</v>
      </c>
      <c r="H37">
        <v>49</v>
      </c>
      <c r="I37">
        <v>10</v>
      </c>
      <c r="J37">
        <f t="shared" si="1"/>
        <v>1.4240000000000002</v>
      </c>
      <c r="K37">
        <v>0</v>
      </c>
      <c r="L37">
        <f t="shared" si="2"/>
        <v>6.4000000000000001E-2</v>
      </c>
      <c r="M37">
        <f t="shared" si="3"/>
        <v>-1.5</v>
      </c>
      <c r="N37">
        <f t="shared" si="4"/>
        <v>4.1702000000000012</v>
      </c>
      <c r="O37">
        <v>4</v>
      </c>
      <c r="P37">
        <f t="shared" si="7"/>
        <v>10</v>
      </c>
      <c r="Q37">
        <f t="shared" si="7"/>
        <v>1.36</v>
      </c>
      <c r="R37">
        <f t="shared" si="6"/>
        <v>100</v>
      </c>
    </row>
    <row r="38" spans="1:18" x14ac:dyDescent="0.15">
      <c r="A38" t="s">
        <v>22</v>
      </c>
      <c r="B38">
        <v>69</v>
      </c>
      <c r="C38">
        <v>31</v>
      </c>
      <c r="D38">
        <v>47.5</v>
      </c>
      <c r="E38">
        <f t="shared" si="0"/>
        <v>53.170200000000001</v>
      </c>
      <c r="F38">
        <v>16</v>
      </c>
      <c r="G38" t="s">
        <v>21</v>
      </c>
      <c r="H38">
        <v>49.5</v>
      </c>
      <c r="I38">
        <v>8.5</v>
      </c>
      <c r="J38">
        <f t="shared" si="1"/>
        <v>1.1180000000000001</v>
      </c>
      <c r="K38">
        <v>4</v>
      </c>
      <c r="L38">
        <f t="shared" si="2"/>
        <v>0.41600000000000004</v>
      </c>
      <c r="M38">
        <f t="shared" si="3"/>
        <v>-2</v>
      </c>
      <c r="N38">
        <f t="shared" si="4"/>
        <v>3.6702000000000012</v>
      </c>
      <c r="O38">
        <v>61</v>
      </c>
      <c r="P38">
        <f t="shared" si="7"/>
        <v>4.5</v>
      </c>
      <c r="Q38">
        <f t="shared" si="7"/>
        <v>0.70200000000000007</v>
      </c>
      <c r="R38">
        <f t="shared" si="6"/>
        <v>52.941176470588239</v>
      </c>
    </row>
    <row r="39" spans="1:18" x14ac:dyDescent="0.15">
      <c r="A39" t="s">
        <v>18</v>
      </c>
      <c r="B39">
        <v>12</v>
      </c>
      <c r="C39">
        <v>7</v>
      </c>
      <c r="D39">
        <v>47.5</v>
      </c>
      <c r="E39">
        <f t="shared" si="0"/>
        <v>53.170200000000001</v>
      </c>
      <c r="F39">
        <v>16</v>
      </c>
      <c r="G39" t="s">
        <v>19</v>
      </c>
      <c r="H39">
        <v>51</v>
      </c>
      <c r="I39">
        <v>9.5</v>
      </c>
      <c r="J39">
        <f t="shared" si="1"/>
        <v>1.3180000000000001</v>
      </c>
      <c r="K39">
        <v>0.5</v>
      </c>
      <c r="L39">
        <f t="shared" si="2"/>
        <v>9.4E-2</v>
      </c>
      <c r="M39">
        <f t="shared" si="3"/>
        <v>-3.5</v>
      </c>
      <c r="N39">
        <f t="shared" si="4"/>
        <v>2.1702000000000012</v>
      </c>
      <c r="O39">
        <v>24</v>
      </c>
      <c r="P39">
        <f t="shared" si="7"/>
        <v>9</v>
      </c>
      <c r="Q39">
        <f t="shared" si="7"/>
        <v>1.224</v>
      </c>
      <c r="R39">
        <f t="shared" si="6"/>
        <v>94.73684210526315</v>
      </c>
    </row>
    <row r="40" spans="1:18" x14ac:dyDescent="0.15">
      <c r="A40" t="s">
        <v>22</v>
      </c>
      <c r="B40">
        <v>70</v>
      </c>
      <c r="C40">
        <v>31</v>
      </c>
      <c r="D40">
        <v>47.5</v>
      </c>
      <c r="E40">
        <f t="shared" si="0"/>
        <v>53.170200000000001</v>
      </c>
      <c r="F40">
        <v>16</v>
      </c>
      <c r="G40" t="s">
        <v>21</v>
      </c>
      <c r="H40">
        <v>51.5</v>
      </c>
      <c r="I40">
        <v>5.5</v>
      </c>
      <c r="J40">
        <f t="shared" si="1"/>
        <v>0.61399999999999999</v>
      </c>
      <c r="K40">
        <v>1</v>
      </c>
      <c r="L40">
        <f t="shared" si="2"/>
        <v>0.128</v>
      </c>
      <c r="M40">
        <f t="shared" si="3"/>
        <v>-4</v>
      </c>
      <c r="N40">
        <f t="shared" si="4"/>
        <v>1.6702000000000012</v>
      </c>
      <c r="O40">
        <v>83</v>
      </c>
      <c r="P40">
        <f t="shared" si="7"/>
        <v>4.5</v>
      </c>
      <c r="Q40">
        <f t="shared" si="7"/>
        <v>0.48599999999999999</v>
      </c>
      <c r="R40">
        <f t="shared" si="6"/>
        <v>81.818181818181827</v>
      </c>
    </row>
    <row r="41" spans="1:18" x14ac:dyDescent="0.15">
      <c r="A41" t="s">
        <v>18</v>
      </c>
      <c r="B41">
        <v>11</v>
      </c>
      <c r="C41">
        <v>7</v>
      </c>
      <c r="D41">
        <v>47.5</v>
      </c>
      <c r="E41">
        <f t="shared" si="0"/>
        <v>53.170200000000001</v>
      </c>
      <c r="F41">
        <v>16</v>
      </c>
      <c r="G41" t="s">
        <v>19</v>
      </c>
      <c r="H41">
        <v>58.5</v>
      </c>
      <c r="I41">
        <v>15.5</v>
      </c>
      <c r="J41">
        <f t="shared" si="1"/>
        <v>2.8540000000000001</v>
      </c>
      <c r="K41">
        <v>10</v>
      </c>
      <c r="L41">
        <f t="shared" si="2"/>
        <v>1.4240000000000002</v>
      </c>
      <c r="M41">
        <f t="shared" si="3"/>
        <v>-11</v>
      </c>
      <c r="N41">
        <f t="shared" si="4"/>
        <v>-5.3297999999999988</v>
      </c>
      <c r="O41">
        <v>62</v>
      </c>
      <c r="P41">
        <f t="shared" si="7"/>
        <v>5.5</v>
      </c>
      <c r="Q41">
        <f t="shared" si="7"/>
        <v>1.43</v>
      </c>
      <c r="R41">
        <f t="shared" si="6"/>
        <v>35.483870967741936</v>
      </c>
    </row>
    <row r="42" spans="1:18" x14ac:dyDescent="0.15">
      <c r="A42" t="s">
        <v>18</v>
      </c>
      <c r="B42">
        <v>15</v>
      </c>
      <c r="C42">
        <v>8</v>
      </c>
      <c r="D42">
        <v>48</v>
      </c>
      <c r="E42">
        <f t="shared" si="0"/>
        <v>53.695099999999996</v>
      </c>
      <c r="F42">
        <v>15</v>
      </c>
      <c r="G42" t="s">
        <v>21</v>
      </c>
      <c r="H42">
        <v>56.5</v>
      </c>
      <c r="I42">
        <v>11.5</v>
      </c>
      <c r="J42">
        <f t="shared" si="1"/>
        <v>1.766</v>
      </c>
      <c r="K42">
        <v>5.5</v>
      </c>
      <c r="L42">
        <f t="shared" si="2"/>
        <v>0.61399999999999999</v>
      </c>
      <c r="M42">
        <f t="shared" si="3"/>
        <v>-8.5</v>
      </c>
      <c r="N42">
        <f t="shared" si="4"/>
        <v>-2.8049000000000035</v>
      </c>
      <c r="O42">
        <v>298</v>
      </c>
      <c r="P42">
        <f t="shared" si="7"/>
        <v>6</v>
      </c>
      <c r="Q42">
        <f t="shared" si="7"/>
        <v>1.1520000000000001</v>
      </c>
      <c r="R42">
        <f t="shared" si="6"/>
        <v>52.173913043478258</v>
      </c>
    </row>
    <row r="43" spans="1:18" x14ac:dyDescent="0.15">
      <c r="A43" t="s">
        <v>23</v>
      </c>
      <c r="B43">
        <v>78</v>
      </c>
      <c r="C43">
        <v>35</v>
      </c>
      <c r="D43">
        <v>48.5</v>
      </c>
      <c r="E43">
        <f t="shared" si="0"/>
        <v>54.22</v>
      </c>
      <c r="F43">
        <v>15.5</v>
      </c>
      <c r="G43" t="s">
        <v>21</v>
      </c>
      <c r="H43">
        <v>52.5</v>
      </c>
      <c r="I43">
        <v>3</v>
      </c>
      <c r="J43">
        <f t="shared" si="1"/>
        <v>0.30400000000000005</v>
      </c>
      <c r="K43">
        <v>0</v>
      </c>
      <c r="L43">
        <f t="shared" si="2"/>
        <v>6.4000000000000001E-2</v>
      </c>
      <c r="M43">
        <f t="shared" si="3"/>
        <v>-4</v>
      </c>
      <c r="N43">
        <f t="shared" si="4"/>
        <v>1.7199999999999989</v>
      </c>
      <c r="O43">
        <v>209</v>
      </c>
      <c r="P43">
        <f t="shared" si="7"/>
        <v>3</v>
      </c>
      <c r="Q43">
        <f t="shared" si="7"/>
        <v>0.24000000000000005</v>
      </c>
      <c r="R43">
        <f t="shared" si="6"/>
        <v>100</v>
      </c>
    </row>
    <row r="44" spans="1:18" x14ac:dyDescent="0.15">
      <c r="A44" t="s">
        <v>22</v>
      </c>
      <c r="B44">
        <v>46</v>
      </c>
      <c r="C44">
        <v>17</v>
      </c>
      <c r="D44">
        <v>48.5</v>
      </c>
      <c r="E44">
        <f t="shared" si="0"/>
        <v>54.22</v>
      </c>
      <c r="F44">
        <v>16</v>
      </c>
      <c r="G44" t="s">
        <v>21</v>
      </c>
      <c r="H44">
        <v>53.5</v>
      </c>
      <c r="I44">
        <v>13.5</v>
      </c>
      <c r="J44">
        <f t="shared" si="1"/>
        <v>2.278</v>
      </c>
      <c r="K44">
        <v>7.5</v>
      </c>
      <c r="L44">
        <f t="shared" si="2"/>
        <v>0.93399999999999994</v>
      </c>
      <c r="M44">
        <f t="shared" si="3"/>
        <v>-5</v>
      </c>
      <c r="N44">
        <f t="shared" si="4"/>
        <v>0.71999999999999886</v>
      </c>
      <c r="O44">
        <v>21</v>
      </c>
      <c r="P44">
        <f t="shared" si="7"/>
        <v>6</v>
      </c>
      <c r="Q44">
        <f t="shared" si="7"/>
        <v>1.3440000000000001</v>
      </c>
      <c r="R44">
        <f t="shared" si="6"/>
        <v>44.444444444444443</v>
      </c>
    </row>
    <row r="45" spans="1:18" x14ac:dyDescent="0.15">
      <c r="A45" t="s">
        <v>23</v>
      </c>
      <c r="B45">
        <v>93</v>
      </c>
      <c r="C45">
        <v>40</v>
      </c>
      <c r="D45">
        <v>50</v>
      </c>
      <c r="E45">
        <f t="shared" si="0"/>
        <v>55.794699999999999</v>
      </c>
      <c r="F45">
        <v>15</v>
      </c>
      <c r="G45" t="s">
        <v>21</v>
      </c>
      <c r="H45">
        <v>44.5</v>
      </c>
      <c r="I45">
        <v>7</v>
      </c>
      <c r="J45">
        <f t="shared" si="1"/>
        <v>0.84800000000000009</v>
      </c>
      <c r="K45">
        <v>0.5</v>
      </c>
      <c r="L45">
        <f t="shared" si="2"/>
        <v>9.4E-2</v>
      </c>
      <c r="M45">
        <f t="shared" si="3"/>
        <v>5.5</v>
      </c>
      <c r="N45">
        <f t="shared" si="4"/>
        <v>11.294699999999999</v>
      </c>
      <c r="O45">
        <v>1</v>
      </c>
      <c r="P45">
        <f t="shared" si="7"/>
        <v>6.5</v>
      </c>
      <c r="Q45">
        <f t="shared" si="7"/>
        <v>0.75400000000000011</v>
      </c>
      <c r="R45">
        <f t="shared" si="6"/>
        <v>92.857142857142861</v>
      </c>
    </row>
    <row r="46" spans="1:18" x14ac:dyDescent="0.15">
      <c r="A46" t="s">
        <v>23</v>
      </c>
      <c r="B46">
        <v>91</v>
      </c>
      <c r="C46">
        <v>40</v>
      </c>
      <c r="D46">
        <v>50</v>
      </c>
      <c r="E46">
        <f t="shared" si="0"/>
        <v>55.794699999999999</v>
      </c>
      <c r="F46">
        <v>15</v>
      </c>
      <c r="G46" t="s">
        <v>21</v>
      </c>
      <c r="H46">
        <v>45</v>
      </c>
      <c r="I46">
        <v>5.5</v>
      </c>
      <c r="J46">
        <f t="shared" si="1"/>
        <v>0.61399999999999999</v>
      </c>
      <c r="K46">
        <v>0</v>
      </c>
      <c r="L46">
        <f t="shared" si="2"/>
        <v>6.4000000000000001E-2</v>
      </c>
      <c r="M46">
        <f t="shared" si="3"/>
        <v>5</v>
      </c>
      <c r="N46">
        <f t="shared" si="4"/>
        <v>10.794699999999999</v>
      </c>
      <c r="O46">
        <v>5</v>
      </c>
      <c r="P46">
        <f t="shared" si="7"/>
        <v>5.5</v>
      </c>
      <c r="Q46">
        <f t="shared" si="7"/>
        <v>0.55000000000000004</v>
      </c>
      <c r="R46">
        <f t="shared" si="6"/>
        <v>100</v>
      </c>
    </row>
    <row r="47" spans="1:18" x14ac:dyDescent="0.15">
      <c r="A47" t="s">
        <v>23</v>
      </c>
      <c r="B47">
        <v>99</v>
      </c>
      <c r="C47">
        <v>42</v>
      </c>
      <c r="D47">
        <v>50</v>
      </c>
      <c r="E47">
        <f t="shared" si="0"/>
        <v>55.794699999999999</v>
      </c>
      <c r="F47">
        <v>17.5</v>
      </c>
      <c r="G47" t="s">
        <v>19</v>
      </c>
      <c r="H47">
        <v>45.5</v>
      </c>
      <c r="I47">
        <v>6.5</v>
      </c>
      <c r="J47">
        <f t="shared" si="1"/>
        <v>0.76600000000000001</v>
      </c>
      <c r="K47">
        <v>0</v>
      </c>
      <c r="L47">
        <f t="shared" si="2"/>
        <v>6.4000000000000001E-2</v>
      </c>
      <c r="M47">
        <f t="shared" si="3"/>
        <v>4.5</v>
      </c>
      <c r="N47">
        <f t="shared" si="4"/>
        <v>10.294699999999999</v>
      </c>
      <c r="O47">
        <v>6</v>
      </c>
      <c r="P47">
        <f t="shared" si="7"/>
        <v>6.5</v>
      </c>
      <c r="Q47">
        <f t="shared" si="7"/>
        <v>0.70199999999999996</v>
      </c>
      <c r="R47">
        <f t="shared" si="6"/>
        <v>100</v>
      </c>
    </row>
    <row r="48" spans="1:18" x14ac:dyDescent="0.15">
      <c r="A48" t="s">
        <v>23</v>
      </c>
      <c r="B48">
        <v>90</v>
      </c>
      <c r="C48">
        <v>40</v>
      </c>
      <c r="D48">
        <v>50</v>
      </c>
      <c r="E48">
        <f t="shared" si="0"/>
        <v>55.794699999999999</v>
      </c>
      <c r="F48">
        <v>15</v>
      </c>
      <c r="G48" t="s">
        <v>21</v>
      </c>
      <c r="H48">
        <v>46</v>
      </c>
      <c r="I48">
        <v>10</v>
      </c>
      <c r="J48">
        <f t="shared" si="1"/>
        <v>1.4240000000000002</v>
      </c>
      <c r="K48">
        <v>0</v>
      </c>
      <c r="L48">
        <f t="shared" si="2"/>
        <v>6.4000000000000001E-2</v>
      </c>
      <c r="M48">
        <f t="shared" si="3"/>
        <v>4</v>
      </c>
      <c r="N48">
        <f t="shared" si="4"/>
        <v>9.7946999999999989</v>
      </c>
      <c r="O48">
        <v>1</v>
      </c>
      <c r="P48">
        <f t="shared" si="7"/>
        <v>10</v>
      </c>
      <c r="Q48">
        <f t="shared" si="7"/>
        <v>1.36</v>
      </c>
      <c r="R48">
        <f t="shared" si="6"/>
        <v>100</v>
      </c>
    </row>
    <row r="49" spans="1:18" x14ac:dyDescent="0.15">
      <c r="A49" t="s">
        <v>23</v>
      </c>
      <c r="B49">
        <v>98</v>
      </c>
      <c r="C49">
        <v>42</v>
      </c>
      <c r="D49">
        <v>50</v>
      </c>
      <c r="E49">
        <f t="shared" si="0"/>
        <v>55.794699999999999</v>
      </c>
      <c r="F49">
        <v>17.5</v>
      </c>
      <c r="G49" t="s">
        <v>19</v>
      </c>
      <c r="H49">
        <v>46.5</v>
      </c>
      <c r="I49">
        <v>4.5</v>
      </c>
      <c r="J49">
        <f t="shared" si="1"/>
        <v>0.47800000000000004</v>
      </c>
      <c r="K49">
        <v>0</v>
      </c>
      <c r="L49">
        <f t="shared" si="2"/>
        <v>6.4000000000000001E-2</v>
      </c>
      <c r="M49">
        <f t="shared" si="3"/>
        <v>3.5</v>
      </c>
      <c r="N49">
        <f t="shared" si="4"/>
        <v>9.2946999999999989</v>
      </c>
      <c r="O49">
        <v>5</v>
      </c>
      <c r="P49">
        <f t="shared" si="7"/>
        <v>4.5</v>
      </c>
      <c r="Q49">
        <f t="shared" si="7"/>
        <v>0.41400000000000003</v>
      </c>
      <c r="R49">
        <f t="shared" si="6"/>
        <v>100</v>
      </c>
    </row>
    <row r="50" spans="1:18" x14ac:dyDescent="0.15">
      <c r="A50" t="s">
        <v>23</v>
      </c>
      <c r="B50">
        <v>97</v>
      </c>
      <c r="C50">
        <v>42</v>
      </c>
      <c r="D50">
        <v>50</v>
      </c>
      <c r="E50">
        <f t="shared" si="0"/>
        <v>55.794699999999999</v>
      </c>
      <c r="F50">
        <v>17.5</v>
      </c>
      <c r="G50" t="s">
        <v>19</v>
      </c>
      <c r="H50">
        <v>51.5</v>
      </c>
      <c r="I50">
        <v>7</v>
      </c>
      <c r="J50">
        <f t="shared" si="1"/>
        <v>0.84800000000000009</v>
      </c>
      <c r="K50">
        <v>0</v>
      </c>
      <c r="L50">
        <f t="shared" si="2"/>
        <v>6.4000000000000001E-2</v>
      </c>
      <c r="M50">
        <f t="shared" si="3"/>
        <v>-1.5</v>
      </c>
      <c r="N50">
        <f t="shared" si="4"/>
        <v>4.2946999999999989</v>
      </c>
      <c r="O50">
        <v>28</v>
      </c>
      <c r="P50">
        <f t="shared" si="7"/>
        <v>7</v>
      </c>
      <c r="Q50">
        <f t="shared" si="7"/>
        <v>0.78400000000000003</v>
      </c>
      <c r="R50">
        <f t="shared" si="6"/>
        <v>100</v>
      </c>
    </row>
    <row r="51" spans="1:18" x14ac:dyDescent="0.15">
      <c r="A51" t="s">
        <v>23</v>
      </c>
      <c r="B51">
        <v>92</v>
      </c>
      <c r="C51">
        <v>40</v>
      </c>
      <c r="D51">
        <v>50</v>
      </c>
      <c r="E51">
        <f t="shared" si="0"/>
        <v>55.794699999999999</v>
      </c>
      <c r="F51">
        <v>15</v>
      </c>
      <c r="G51" t="s">
        <v>21</v>
      </c>
      <c r="H51">
        <v>61</v>
      </c>
      <c r="I51">
        <v>6</v>
      </c>
      <c r="J51">
        <f t="shared" si="1"/>
        <v>0.68800000000000006</v>
      </c>
      <c r="K51">
        <v>6</v>
      </c>
      <c r="L51">
        <f t="shared" si="2"/>
        <v>0.68800000000000006</v>
      </c>
      <c r="M51">
        <f t="shared" si="3"/>
        <v>-11</v>
      </c>
      <c r="N51">
        <f t="shared" si="4"/>
        <v>-5.2053000000000011</v>
      </c>
      <c r="O51">
        <v>87</v>
      </c>
      <c r="P51">
        <f t="shared" si="7"/>
        <v>0</v>
      </c>
      <c r="Q51">
        <f t="shared" si="7"/>
        <v>0</v>
      </c>
      <c r="R51">
        <f t="shared" si="6"/>
        <v>0</v>
      </c>
    </row>
    <row r="52" spans="1:18" x14ac:dyDescent="0.15">
      <c r="A52" t="s">
        <v>18</v>
      </c>
      <c r="B52">
        <v>16</v>
      </c>
      <c r="C52">
        <v>9</v>
      </c>
      <c r="D52">
        <v>50</v>
      </c>
      <c r="E52">
        <f t="shared" si="0"/>
        <v>55.794699999999999</v>
      </c>
      <c r="F52">
        <v>17</v>
      </c>
      <c r="G52" t="s">
        <v>19</v>
      </c>
      <c r="H52">
        <v>67.5</v>
      </c>
      <c r="I52">
        <v>5.5</v>
      </c>
      <c r="J52">
        <f t="shared" si="1"/>
        <v>0.61399999999999999</v>
      </c>
      <c r="K52">
        <v>5.5</v>
      </c>
      <c r="L52">
        <f t="shared" si="2"/>
        <v>0.61399999999999999</v>
      </c>
      <c r="M52">
        <f t="shared" si="3"/>
        <v>-17.5</v>
      </c>
      <c r="N52">
        <f t="shared" si="4"/>
        <v>-11.705300000000001</v>
      </c>
      <c r="O52">
        <v>63</v>
      </c>
      <c r="P52">
        <f t="shared" si="7"/>
        <v>0</v>
      </c>
      <c r="Q52">
        <f t="shared" si="7"/>
        <v>0</v>
      </c>
      <c r="R52">
        <f t="shared" si="6"/>
        <v>0</v>
      </c>
    </row>
    <row r="53" spans="1:18" x14ac:dyDescent="0.15">
      <c r="A53" t="s">
        <v>18</v>
      </c>
      <c r="B53">
        <v>35</v>
      </c>
      <c r="C53">
        <v>9</v>
      </c>
      <c r="D53">
        <v>50.5</v>
      </c>
      <c r="E53">
        <f t="shared" si="0"/>
        <v>56.319600000000001</v>
      </c>
      <c r="F53">
        <v>16</v>
      </c>
      <c r="G53" t="s">
        <v>19</v>
      </c>
      <c r="H53">
        <v>45.5</v>
      </c>
      <c r="I53">
        <v>9.5</v>
      </c>
      <c r="J53">
        <f t="shared" si="1"/>
        <v>1.3180000000000001</v>
      </c>
      <c r="K53">
        <v>2.5</v>
      </c>
      <c r="L53">
        <f t="shared" si="2"/>
        <v>0.254</v>
      </c>
      <c r="M53">
        <f t="shared" si="3"/>
        <v>5</v>
      </c>
      <c r="N53">
        <f t="shared" si="4"/>
        <v>10.819600000000001</v>
      </c>
      <c r="O53">
        <v>0</v>
      </c>
      <c r="P53">
        <f t="shared" si="7"/>
        <v>7</v>
      </c>
      <c r="Q53">
        <f t="shared" si="7"/>
        <v>1.0640000000000001</v>
      </c>
      <c r="R53">
        <f t="shared" si="6"/>
        <v>73.68421052631578</v>
      </c>
    </row>
    <row r="54" spans="1:18" x14ac:dyDescent="0.15">
      <c r="A54" t="s">
        <v>18</v>
      </c>
      <c r="B54">
        <v>34</v>
      </c>
      <c r="C54">
        <v>9</v>
      </c>
      <c r="D54">
        <v>50.5</v>
      </c>
      <c r="E54">
        <f t="shared" si="0"/>
        <v>56.319600000000001</v>
      </c>
      <c r="F54">
        <v>16</v>
      </c>
      <c r="G54" t="s">
        <v>19</v>
      </c>
      <c r="H54">
        <v>49.5</v>
      </c>
      <c r="I54">
        <v>18</v>
      </c>
      <c r="J54">
        <f t="shared" si="1"/>
        <v>3.6640000000000006</v>
      </c>
      <c r="K54">
        <v>13</v>
      </c>
      <c r="L54">
        <f t="shared" si="2"/>
        <v>2.1440000000000001</v>
      </c>
      <c r="M54">
        <f t="shared" si="3"/>
        <v>1</v>
      </c>
      <c r="N54">
        <f t="shared" si="4"/>
        <v>6.8196000000000012</v>
      </c>
      <c r="O54">
        <v>4</v>
      </c>
      <c r="P54">
        <f t="shared" si="7"/>
        <v>5</v>
      </c>
      <c r="Q54">
        <f t="shared" si="7"/>
        <v>1.5200000000000005</v>
      </c>
      <c r="R54">
        <f t="shared" si="6"/>
        <v>27.777777777777779</v>
      </c>
    </row>
    <row r="55" spans="1:18" x14ac:dyDescent="0.15">
      <c r="A55" t="s">
        <v>22</v>
      </c>
      <c r="B55">
        <v>66</v>
      </c>
      <c r="C55">
        <v>28</v>
      </c>
      <c r="D55">
        <v>50.5</v>
      </c>
      <c r="E55">
        <f t="shared" si="0"/>
        <v>56.319600000000001</v>
      </c>
      <c r="F55">
        <v>16.5</v>
      </c>
      <c r="G55" t="s">
        <v>19</v>
      </c>
      <c r="H55">
        <v>58</v>
      </c>
      <c r="I55">
        <v>5.5</v>
      </c>
      <c r="J55">
        <f t="shared" si="1"/>
        <v>0.61399999999999999</v>
      </c>
      <c r="K55">
        <v>5.5</v>
      </c>
      <c r="L55">
        <f t="shared" si="2"/>
        <v>0.61399999999999999</v>
      </c>
      <c r="M55">
        <f t="shared" si="3"/>
        <v>-7.5</v>
      </c>
      <c r="N55">
        <f t="shared" si="4"/>
        <v>-1.6803999999999988</v>
      </c>
      <c r="O55">
        <v>93</v>
      </c>
      <c r="P55">
        <f t="shared" si="7"/>
        <v>0</v>
      </c>
      <c r="Q55">
        <f t="shared" si="7"/>
        <v>0</v>
      </c>
      <c r="R55">
        <f t="shared" si="6"/>
        <v>0</v>
      </c>
    </row>
    <row r="56" spans="1:18" x14ac:dyDescent="0.15">
      <c r="A56" t="s">
        <v>20</v>
      </c>
      <c r="B56">
        <v>8</v>
      </c>
      <c r="C56">
        <v>5</v>
      </c>
      <c r="D56">
        <v>51</v>
      </c>
      <c r="E56">
        <f t="shared" si="0"/>
        <v>56.844500000000004</v>
      </c>
      <c r="F56">
        <v>17.5</v>
      </c>
      <c r="G56" t="s">
        <v>19</v>
      </c>
      <c r="H56">
        <v>55</v>
      </c>
      <c r="I56">
        <v>5.5</v>
      </c>
      <c r="J56">
        <f t="shared" si="1"/>
        <v>0.61399999999999999</v>
      </c>
      <c r="K56">
        <v>0</v>
      </c>
      <c r="L56">
        <f t="shared" si="2"/>
        <v>6.4000000000000001E-2</v>
      </c>
      <c r="M56">
        <f t="shared" si="3"/>
        <v>-4</v>
      </c>
      <c r="N56">
        <f t="shared" si="4"/>
        <v>1.8445000000000036</v>
      </c>
      <c r="O56">
        <v>127</v>
      </c>
      <c r="P56">
        <f t="shared" si="7"/>
        <v>5.5</v>
      </c>
      <c r="Q56">
        <f t="shared" si="7"/>
        <v>0.55000000000000004</v>
      </c>
      <c r="R56">
        <f t="shared" si="6"/>
        <v>100</v>
      </c>
    </row>
    <row r="57" spans="1:18" x14ac:dyDescent="0.15">
      <c r="A57" t="s">
        <v>23</v>
      </c>
      <c r="B57">
        <v>88</v>
      </c>
      <c r="C57">
        <v>38</v>
      </c>
      <c r="D57">
        <v>51.5</v>
      </c>
      <c r="E57">
        <f t="shared" si="0"/>
        <v>57.369399999999999</v>
      </c>
      <c r="F57">
        <v>15</v>
      </c>
      <c r="G57" t="s">
        <v>21</v>
      </c>
      <c r="H57">
        <v>60</v>
      </c>
      <c r="I57">
        <v>10.5</v>
      </c>
      <c r="J57">
        <f t="shared" si="1"/>
        <v>1.5339999999999998</v>
      </c>
      <c r="K57">
        <v>5</v>
      </c>
      <c r="L57">
        <f t="shared" si="2"/>
        <v>0.54400000000000004</v>
      </c>
      <c r="M57">
        <f t="shared" si="3"/>
        <v>-8.5</v>
      </c>
      <c r="N57">
        <f t="shared" si="4"/>
        <v>-2.6306000000000012</v>
      </c>
      <c r="O57">
        <v>56</v>
      </c>
      <c r="P57">
        <f t="shared" si="7"/>
        <v>5.5</v>
      </c>
      <c r="Q57">
        <f t="shared" si="7"/>
        <v>0.98999999999999977</v>
      </c>
      <c r="R57">
        <f t="shared" si="6"/>
        <v>52.380952380952387</v>
      </c>
    </row>
    <row r="58" spans="1:18" x14ac:dyDescent="0.15">
      <c r="A58" t="s">
        <v>20</v>
      </c>
      <c r="B58">
        <v>5</v>
      </c>
      <c r="C58">
        <v>3</v>
      </c>
      <c r="D58">
        <v>52</v>
      </c>
      <c r="E58">
        <f t="shared" si="0"/>
        <v>57.894300000000001</v>
      </c>
      <c r="F58">
        <v>16.5</v>
      </c>
      <c r="G58" t="s">
        <v>21</v>
      </c>
      <c r="H58">
        <v>56</v>
      </c>
      <c r="I58">
        <v>6.5</v>
      </c>
      <c r="J58">
        <f t="shared" si="1"/>
        <v>0.76600000000000001</v>
      </c>
      <c r="K58">
        <v>6.5</v>
      </c>
      <c r="L58">
        <f t="shared" si="2"/>
        <v>0.76600000000000001</v>
      </c>
      <c r="M58">
        <f t="shared" si="3"/>
        <v>-4</v>
      </c>
      <c r="N58">
        <f t="shared" si="4"/>
        <v>1.8943000000000012</v>
      </c>
      <c r="O58">
        <v>32</v>
      </c>
      <c r="P58">
        <f t="shared" si="7"/>
        <v>0</v>
      </c>
      <c r="Q58">
        <f t="shared" si="7"/>
        <v>0</v>
      </c>
      <c r="R58">
        <f t="shared" si="6"/>
        <v>0</v>
      </c>
    </row>
    <row r="59" spans="1:18" x14ac:dyDescent="0.15">
      <c r="A59" t="s">
        <v>18</v>
      </c>
      <c r="B59">
        <v>36</v>
      </c>
      <c r="C59">
        <v>15</v>
      </c>
      <c r="D59">
        <v>52.5</v>
      </c>
      <c r="E59">
        <f t="shared" si="0"/>
        <v>58.419200000000004</v>
      </c>
      <c r="F59">
        <v>17</v>
      </c>
      <c r="G59" t="s">
        <v>21</v>
      </c>
      <c r="H59">
        <v>50.5</v>
      </c>
      <c r="I59">
        <v>14.5</v>
      </c>
      <c r="J59">
        <f t="shared" si="1"/>
        <v>2.5580000000000003</v>
      </c>
      <c r="K59">
        <v>0</v>
      </c>
      <c r="L59">
        <f t="shared" si="2"/>
        <v>6.4000000000000001E-2</v>
      </c>
      <c r="M59">
        <f t="shared" si="3"/>
        <v>2</v>
      </c>
      <c r="N59">
        <f t="shared" si="4"/>
        <v>7.9192000000000036</v>
      </c>
      <c r="O59">
        <v>16</v>
      </c>
      <c r="P59">
        <f t="shared" si="7"/>
        <v>14.5</v>
      </c>
      <c r="Q59">
        <f t="shared" si="7"/>
        <v>2.4940000000000002</v>
      </c>
      <c r="R59">
        <f t="shared" si="6"/>
        <v>100</v>
      </c>
    </row>
    <row r="60" spans="1:18" x14ac:dyDescent="0.15">
      <c r="A60" t="s">
        <v>18</v>
      </c>
      <c r="B60">
        <v>37</v>
      </c>
      <c r="C60">
        <v>15</v>
      </c>
      <c r="D60">
        <v>52.5</v>
      </c>
      <c r="E60">
        <f t="shared" si="0"/>
        <v>58.419200000000004</v>
      </c>
      <c r="F60">
        <v>17</v>
      </c>
      <c r="G60" t="s">
        <v>21</v>
      </c>
      <c r="H60">
        <v>59.5</v>
      </c>
      <c r="I60">
        <v>16</v>
      </c>
      <c r="J60">
        <f t="shared" si="1"/>
        <v>3.008</v>
      </c>
      <c r="K60">
        <v>6.5</v>
      </c>
      <c r="L60">
        <f t="shared" si="2"/>
        <v>0.76600000000000001</v>
      </c>
      <c r="M60">
        <f t="shared" si="3"/>
        <v>-7</v>
      </c>
      <c r="N60">
        <f t="shared" si="4"/>
        <v>-1.0807999999999964</v>
      </c>
      <c r="O60">
        <v>23</v>
      </c>
      <c r="P60">
        <f t="shared" si="7"/>
        <v>9.5</v>
      </c>
      <c r="Q60">
        <f t="shared" si="7"/>
        <v>2.242</v>
      </c>
      <c r="R60">
        <f t="shared" si="6"/>
        <v>59.375</v>
      </c>
    </row>
    <row r="61" spans="1:18" x14ac:dyDescent="0.15">
      <c r="A61" t="s">
        <v>23</v>
      </c>
      <c r="B61">
        <v>101</v>
      </c>
      <c r="C61">
        <v>43</v>
      </c>
      <c r="D61">
        <v>53</v>
      </c>
      <c r="E61">
        <f t="shared" si="0"/>
        <v>58.944099999999999</v>
      </c>
      <c r="F61">
        <v>15.5</v>
      </c>
      <c r="G61" t="s">
        <v>21</v>
      </c>
      <c r="H61">
        <v>43</v>
      </c>
      <c r="I61">
        <v>4.5</v>
      </c>
      <c r="J61">
        <f t="shared" si="1"/>
        <v>0.47800000000000004</v>
      </c>
      <c r="K61">
        <v>0</v>
      </c>
      <c r="L61">
        <f t="shared" si="2"/>
        <v>6.4000000000000001E-2</v>
      </c>
      <c r="M61">
        <f t="shared" si="3"/>
        <v>10</v>
      </c>
      <c r="N61">
        <f t="shared" si="4"/>
        <v>15.944099999999999</v>
      </c>
      <c r="O61">
        <v>0</v>
      </c>
      <c r="P61">
        <f t="shared" si="7"/>
        <v>4.5</v>
      </c>
      <c r="Q61">
        <f t="shared" si="7"/>
        <v>0.41400000000000003</v>
      </c>
      <c r="R61">
        <f t="shared" si="6"/>
        <v>100</v>
      </c>
    </row>
    <row r="62" spans="1:18" x14ac:dyDescent="0.15">
      <c r="A62" t="s">
        <v>23</v>
      </c>
      <c r="B62">
        <v>102</v>
      </c>
      <c r="C62">
        <v>43</v>
      </c>
      <c r="D62">
        <v>53</v>
      </c>
      <c r="E62">
        <f t="shared" si="0"/>
        <v>58.944099999999999</v>
      </c>
      <c r="F62">
        <v>15.5</v>
      </c>
      <c r="G62" t="s">
        <v>21</v>
      </c>
      <c r="H62">
        <v>43.5</v>
      </c>
      <c r="I62">
        <v>4</v>
      </c>
      <c r="J62">
        <f t="shared" si="1"/>
        <v>0.41600000000000004</v>
      </c>
      <c r="K62">
        <v>0</v>
      </c>
      <c r="L62">
        <f t="shared" si="2"/>
        <v>6.4000000000000001E-2</v>
      </c>
      <c r="M62">
        <f t="shared" si="3"/>
        <v>9.5</v>
      </c>
      <c r="N62">
        <f t="shared" si="4"/>
        <v>15.444099999999999</v>
      </c>
      <c r="O62">
        <v>3</v>
      </c>
      <c r="P62">
        <f t="shared" si="7"/>
        <v>4</v>
      </c>
      <c r="Q62">
        <f t="shared" si="7"/>
        <v>0.35200000000000004</v>
      </c>
      <c r="R62">
        <f t="shared" si="6"/>
        <v>100</v>
      </c>
    </row>
    <row r="63" spans="1:18" x14ac:dyDescent="0.15">
      <c r="A63" t="s">
        <v>23</v>
      </c>
      <c r="B63">
        <v>100</v>
      </c>
      <c r="C63">
        <v>43</v>
      </c>
      <c r="D63">
        <v>53</v>
      </c>
      <c r="E63">
        <f t="shared" si="0"/>
        <v>58.944099999999999</v>
      </c>
      <c r="F63">
        <v>15.5</v>
      </c>
      <c r="G63" t="s">
        <v>21</v>
      </c>
      <c r="H63">
        <v>45</v>
      </c>
      <c r="I63">
        <v>5.5</v>
      </c>
      <c r="J63">
        <f t="shared" si="1"/>
        <v>0.61399999999999999</v>
      </c>
      <c r="K63">
        <v>0</v>
      </c>
      <c r="L63">
        <f t="shared" si="2"/>
        <v>6.4000000000000001E-2</v>
      </c>
      <c r="M63">
        <f t="shared" si="3"/>
        <v>8</v>
      </c>
      <c r="N63">
        <f t="shared" si="4"/>
        <v>13.944099999999999</v>
      </c>
      <c r="O63">
        <v>0</v>
      </c>
      <c r="P63">
        <f t="shared" si="7"/>
        <v>5.5</v>
      </c>
      <c r="Q63">
        <f t="shared" si="7"/>
        <v>0.55000000000000004</v>
      </c>
      <c r="R63">
        <f t="shared" si="6"/>
        <v>100</v>
      </c>
    </row>
    <row r="64" spans="1:18" x14ac:dyDescent="0.15">
      <c r="A64" t="s">
        <v>23</v>
      </c>
      <c r="B64">
        <v>103</v>
      </c>
      <c r="C64">
        <v>43</v>
      </c>
      <c r="D64">
        <v>53</v>
      </c>
      <c r="E64">
        <f t="shared" si="0"/>
        <v>58.944099999999999</v>
      </c>
      <c r="F64">
        <v>15.5</v>
      </c>
      <c r="G64" t="s">
        <v>21</v>
      </c>
      <c r="H64">
        <v>48</v>
      </c>
      <c r="I64">
        <v>7.5</v>
      </c>
      <c r="J64">
        <f t="shared" si="1"/>
        <v>0.93399999999999994</v>
      </c>
      <c r="K64">
        <v>0</v>
      </c>
      <c r="L64">
        <f t="shared" si="2"/>
        <v>6.4000000000000001E-2</v>
      </c>
      <c r="M64">
        <f t="shared" si="3"/>
        <v>5</v>
      </c>
      <c r="N64">
        <f t="shared" si="4"/>
        <v>10.944099999999999</v>
      </c>
      <c r="O64">
        <v>32</v>
      </c>
      <c r="P64">
        <f t="shared" si="7"/>
        <v>7.5</v>
      </c>
      <c r="Q64">
        <f t="shared" si="7"/>
        <v>0.86999999999999988</v>
      </c>
      <c r="R64">
        <f t="shared" si="6"/>
        <v>100</v>
      </c>
    </row>
    <row r="65" spans="1:18" x14ac:dyDescent="0.15">
      <c r="A65" t="s">
        <v>22</v>
      </c>
      <c r="B65">
        <v>51</v>
      </c>
      <c r="C65">
        <v>22</v>
      </c>
      <c r="D65">
        <v>53</v>
      </c>
      <c r="E65">
        <f t="shared" si="0"/>
        <v>58.944099999999999</v>
      </c>
      <c r="F65">
        <v>16.5</v>
      </c>
      <c r="G65" t="s">
        <v>21</v>
      </c>
      <c r="H65">
        <v>50.5</v>
      </c>
      <c r="I65">
        <v>5</v>
      </c>
      <c r="J65">
        <f t="shared" si="1"/>
        <v>0.54400000000000004</v>
      </c>
      <c r="K65">
        <v>0</v>
      </c>
      <c r="L65">
        <f t="shared" si="2"/>
        <v>6.4000000000000001E-2</v>
      </c>
      <c r="M65">
        <f t="shared" si="3"/>
        <v>2.5</v>
      </c>
      <c r="N65">
        <f t="shared" si="4"/>
        <v>8.4440999999999988</v>
      </c>
      <c r="O65">
        <v>62</v>
      </c>
      <c r="P65">
        <f t="shared" si="7"/>
        <v>5</v>
      </c>
      <c r="Q65">
        <f t="shared" si="7"/>
        <v>0.48000000000000004</v>
      </c>
      <c r="R65">
        <f t="shared" si="6"/>
        <v>100</v>
      </c>
    </row>
    <row r="66" spans="1:18" x14ac:dyDescent="0.15">
      <c r="A66" t="s">
        <v>18</v>
      </c>
      <c r="B66">
        <v>30</v>
      </c>
      <c r="C66">
        <v>13</v>
      </c>
      <c r="D66">
        <v>55</v>
      </c>
      <c r="E66">
        <f t="shared" ref="E66:E82" si="8">1.0498*D66 + 3.3047</f>
        <v>61.043700000000001</v>
      </c>
      <c r="F66">
        <v>16</v>
      </c>
      <c r="G66" t="s">
        <v>19</v>
      </c>
      <c r="H66">
        <v>51</v>
      </c>
      <c r="I66">
        <v>17.5</v>
      </c>
      <c r="J66">
        <f t="shared" ref="J66:J82" si="9">0.064+0.056*I66+0.008*I66*I66</f>
        <v>3.4940000000000002</v>
      </c>
      <c r="K66">
        <v>0</v>
      </c>
      <c r="L66">
        <f t="shared" ref="L66:L82" si="10">0.064+0.056*K66+0.008*K66*K66</f>
        <v>6.4000000000000001E-2</v>
      </c>
      <c r="M66">
        <f t="shared" ref="M66:M82" si="11">D66-H66</f>
        <v>4</v>
      </c>
      <c r="N66">
        <f t="shared" ref="N66:N82" si="12">E66-H66</f>
        <v>10.043700000000001</v>
      </c>
      <c r="O66">
        <v>2</v>
      </c>
      <c r="P66">
        <f t="shared" ref="P66:Q82" si="13">I66-K66</f>
        <v>17.5</v>
      </c>
      <c r="Q66">
        <f t="shared" si="13"/>
        <v>3.43</v>
      </c>
      <c r="R66">
        <f t="shared" ref="R66:R82" si="14">(I66-K66)/I66*100</f>
        <v>100</v>
      </c>
    </row>
    <row r="67" spans="1:18" x14ac:dyDescent="0.15">
      <c r="A67" t="s">
        <v>22</v>
      </c>
      <c r="B67">
        <v>67</v>
      </c>
      <c r="C67">
        <v>29</v>
      </c>
      <c r="D67">
        <v>55</v>
      </c>
      <c r="E67">
        <f t="shared" si="8"/>
        <v>61.043700000000001</v>
      </c>
      <c r="F67">
        <v>18</v>
      </c>
      <c r="G67" t="s">
        <v>19</v>
      </c>
      <c r="H67">
        <v>57</v>
      </c>
      <c r="I67">
        <v>9.5</v>
      </c>
      <c r="J67">
        <f t="shared" si="9"/>
        <v>1.3180000000000001</v>
      </c>
      <c r="K67">
        <v>0</v>
      </c>
      <c r="L67">
        <f t="shared" si="10"/>
        <v>6.4000000000000001E-2</v>
      </c>
      <c r="M67">
        <f t="shared" si="11"/>
        <v>-2</v>
      </c>
      <c r="N67">
        <f t="shared" si="12"/>
        <v>4.0437000000000012</v>
      </c>
      <c r="O67">
        <v>36</v>
      </c>
      <c r="P67">
        <f t="shared" si="13"/>
        <v>9.5</v>
      </c>
      <c r="Q67">
        <f t="shared" si="13"/>
        <v>1.254</v>
      </c>
      <c r="R67">
        <f t="shared" si="14"/>
        <v>100</v>
      </c>
    </row>
    <row r="68" spans="1:18" x14ac:dyDescent="0.15">
      <c r="A68" t="s">
        <v>18</v>
      </c>
      <c r="B68">
        <v>10</v>
      </c>
      <c r="C68">
        <v>6</v>
      </c>
      <c r="D68">
        <v>56</v>
      </c>
      <c r="E68">
        <f t="shared" si="8"/>
        <v>62.093499999999999</v>
      </c>
      <c r="F68">
        <v>15.5</v>
      </c>
      <c r="G68" t="s">
        <v>21</v>
      </c>
      <c r="H68">
        <v>50.5</v>
      </c>
      <c r="I68">
        <v>13.5</v>
      </c>
      <c r="J68">
        <f t="shared" si="9"/>
        <v>2.278</v>
      </c>
      <c r="K68">
        <v>0</v>
      </c>
      <c r="L68">
        <f t="shared" si="10"/>
        <v>6.4000000000000001E-2</v>
      </c>
      <c r="M68">
        <f t="shared" si="11"/>
        <v>5.5</v>
      </c>
      <c r="N68">
        <f t="shared" si="12"/>
        <v>11.593499999999999</v>
      </c>
      <c r="O68">
        <v>1</v>
      </c>
      <c r="P68">
        <f t="shared" si="13"/>
        <v>13.5</v>
      </c>
      <c r="Q68">
        <f t="shared" si="13"/>
        <v>2.214</v>
      </c>
      <c r="R68">
        <f t="shared" si="14"/>
        <v>100</v>
      </c>
    </row>
    <row r="69" spans="1:18" x14ac:dyDescent="0.15">
      <c r="A69" t="s">
        <v>23</v>
      </c>
      <c r="B69">
        <v>104</v>
      </c>
      <c r="C69">
        <v>44</v>
      </c>
      <c r="D69">
        <v>56.5</v>
      </c>
      <c r="E69">
        <f t="shared" si="8"/>
        <v>62.618400000000001</v>
      </c>
      <c r="F69">
        <v>15.5</v>
      </c>
      <c r="G69" t="s">
        <v>21</v>
      </c>
      <c r="H69">
        <v>60</v>
      </c>
      <c r="I69">
        <v>9</v>
      </c>
      <c r="J69">
        <f t="shared" si="9"/>
        <v>1.2160000000000002</v>
      </c>
      <c r="K69">
        <v>2</v>
      </c>
      <c r="L69">
        <f t="shared" si="10"/>
        <v>0.20799999999999999</v>
      </c>
      <c r="M69">
        <f t="shared" si="11"/>
        <v>-3.5</v>
      </c>
      <c r="N69">
        <f t="shared" si="12"/>
        <v>2.6184000000000012</v>
      </c>
      <c r="O69">
        <v>57</v>
      </c>
      <c r="P69">
        <f t="shared" si="13"/>
        <v>7</v>
      </c>
      <c r="Q69">
        <f t="shared" si="13"/>
        <v>1.0080000000000002</v>
      </c>
      <c r="R69">
        <f t="shared" si="14"/>
        <v>77.777777777777786</v>
      </c>
    </row>
    <row r="70" spans="1:18" x14ac:dyDescent="0.15">
      <c r="A70" t="s">
        <v>20</v>
      </c>
      <c r="B70">
        <v>2</v>
      </c>
      <c r="C70">
        <v>2</v>
      </c>
      <c r="D70">
        <v>57.5</v>
      </c>
      <c r="E70">
        <f t="shared" si="8"/>
        <v>63.668199999999999</v>
      </c>
      <c r="F70">
        <v>11</v>
      </c>
      <c r="G70" t="s">
        <v>21</v>
      </c>
      <c r="H70">
        <v>54.5</v>
      </c>
      <c r="I70">
        <v>8.5</v>
      </c>
      <c r="J70">
        <f t="shared" si="9"/>
        <v>1.1180000000000001</v>
      </c>
      <c r="K70">
        <v>0</v>
      </c>
      <c r="L70">
        <f t="shared" si="10"/>
        <v>6.4000000000000001E-2</v>
      </c>
      <c r="M70">
        <f t="shared" si="11"/>
        <v>3</v>
      </c>
      <c r="N70">
        <f t="shared" si="12"/>
        <v>9.1681999999999988</v>
      </c>
      <c r="O70">
        <v>19</v>
      </c>
      <c r="P70">
        <f t="shared" si="13"/>
        <v>8.5</v>
      </c>
      <c r="Q70">
        <f t="shared" si="13"/>
        <v>1.054</v>
      </c>
      <c r="R70">
        <f t="shared" si="14"/>
        <v>100</v>
      </c>
    </row>
    <row r="71" spans="1:18" x14ac:dyDescent="0.15">
      <c r="A71" t="s">
        <v>22</v>
      </c>
      <c r="B71">
        <v>60</v>
      </c>
      <c r="C71">
        <v>25</v>
      </c>
      <c r="D71">
        <v>57.5</v>
      </c>
      <c r="E71">
        <f t="shared" si="8"/>
        <v>63.668199999999999</v>
      </c>
      <c r="F71">
        <v>16</v>
      </c>
      <c r="G71" t="s">
        <v>19</v>
      </c>
      <c r="H71">
        <v>59.5</v>
      </c>
      <c r="I71">
        <v>6.5</v>
      </c>
      <c r="J71">
        <f t="shared" si="9"/>
        <v>0.76600000000000001</v>
      </c>
      <c r="K71">
        <v>1</v>
      </c>
      <c r="L71">
        <f t="shared" si="10"/>
        <v>0.128</v>
      </c>
      <c r="M71">
        <f t="shared" si="11"/>
        <v>-2</v>
      </c>
      <c r="N71">
        <f t="shared" si="12"/>
        <v>4.1681999999999988</v>
      </c>
      <c r="O71">
        <v>12</v>
      </c>
      <c r="P71">
        <f t="shared" si="13"/>
        <v>5.5</v>
      </c>
      <c r="Q71">
        <f t="shared" si="13"/>
        <v>0.63800000000000001</v>
      </c>
      <c r="R71">
        <f t="shared" si="14"/>
        <v>84.615384615384613</v>
      </c>
    </row>
    <row r="72" spans="1:18" x14ac:dyDescent="0.15">
      <c r="A72" t="s">
        <v>22</v>
      </c>
      <c r="B72">
        <v>53</v>
      </c>
      <c r="C72">
        <v>21</v>
      </c>
      <c r="D72">
        <v>58</v>
      </c>
      <c r="E72">
        <f t="shared" si="8"/>
        <v>64.193100000000001</v>
      </c>
      <c r="F72">
        <v>17</v>
      </c>
      <c r="G72" t="s">
        <v>21</v>
      </c>
      <c r="H72">
        <v>45</v>
      </c>
      <c r="I72">
        <v>3.5</v>
      </c>
      <c r="J72">
        <f t="shared" si="9"/>
        <v>0.35799999999999998</v>
      </c>
      <c r="K72">
        <v>0</v>
      </c>
      <c r="L72">
        <f t="shared" si="10"/>
        <v>6.4000000000000001E-2</v>
      </c>
      <c r="M72">
        <f t="shared" si="11"/>
        <v>13</v>
      </c>
      <c r="N72">
        <f t="shared" si="12"/>
        <v>19.193100000000001</v>
      </c>
      <c r="O72">
        <v>24</v>
      </c>
      <c r="P72">
        <f t="shared" si="13"/>
        <v>3.5</v>
      </c>
      <c r="Q72">
        <f t="shared" si="13"/>
        <v>0.29399999999999998</v>
      </c>
      <c r="R72">
        <f t="shared" si="14"/>
        <v>100</v>
      </c>
    </row>
    <row r="73" spans="1:18" x14ac:dyDescent="0.15">
      <c r="A73" t="s">
        <v>23</v>
      </c>
      <c r="B73">
        <v>87</v>
      </c>
      <c r="C73">
        <v>37</v>
      </c>
      <c r="D73">
        <v>58.5</v>
      </c>
      <c r="E73">
        <f t="shared" si="8"/>
        <v>64.718000000000004</v>
      </c>
      <c r="F73">
        <v>17</v>
      </c>
      <c r="G73" t="s">
        <v>19</v>
      </c>
      <c r="H73">
        <v>63</v>
      </c>
      <c r="I73">
        <v>11</v>
      </c>
      <c r="J73">
        <f t="shared" si="9"/>
        <v>1.6479999999999999</v>
      </c>
      <c r="K73">
        <v>3.5</v>
      </c>
      <c r="L73">
        <f t="shared" si="10"/>
        <v>0.35799999999999998</v>
      </c>
      <c r="M73">
        <f t="shared" si="11"/>
        <v>-4.5</v>
      </c>
      <c r="N73">
        <f t="shared" si="12"/>
        <v>1.7180000000000035</v>
      </c>
      <c r="O73">
        <v>168</v>
      </c>
      <c r="P73">
        <f t="shared" si="13"/>
        <v>7.5</v>
      </c>
      <c r="Q73">
        <f t="shared" si="13"/>
        <v>1.29</v>
      </c>
      <c r="R73">
        <f t="shared" si="14"/>
        <v>68.181818181818173</v>
      </c>
    </row>
    <row r="74" spans="1:18" x14ac:dyDescent="0.15">
      <c r="A74" t="s">
        <v>22</v>
      </c>
      <c r="B74">
        <v>50</v>
      </c>
      <c r="C74">
        <v>21</v>
      </c>
      <c r="D74">
        <v>59</v>
      </c>
      <c r="E74">
        <f t="shared" si="8"/>
        <v>65.242900000000006</v>
      </c>
      <c r="F74">
        <v>17</v>
      </c>
      <c r="G74" t="s">
        <v>21</v>
      </c>
      <c r="H74">
        <v>51</v>
      </c>
      <c r="I74">
        <v>18.5</v>
      </c>
      <c r="J74">
        <f t="shared" si="9"/>
        <v>3.8380000000000001</v>
      </c>
      <c r="K74">
        <v>0</v>
      </c>
      <c r="L74">
        <f t="shared" si="10"/>
        <v>6.4000000000000001E-2</v>
      </c>
      <c r="M74">
        <f t="shared" si="11"/>
        <v>8</v>
      </c>
      <c r="N74">
        <f t="shared" si="12"/>
        <v>14.242900000000006</v>
      </c>
      <c r="O74">
        <v>105</v>
      </c>
      <c r="P74">
        <f t="shared" si="13"/>
        <v>18.5</v>
      </c>
      <c r="Q74">
        <f t="shared" si="13"/>
        <v>3.774</v>
      </c>
      <c r="R74">
        <f t="shared" si="14"/>
        <v>100</v>
      </c>
    </row>
    <row r="75" spans="1:18" x14ac:dyDescent="0.15">
      <c r="A75" t="s">
        <v>22</v>
      </c>
      <c r="B75">
        <v>49</v>
      </c>
      <c r="C75">
        <v>21</v>
      </c>
      <c r="D75">
        <v>59</v>
      </c>
      <c r="E75">
        <f t="shared" si="8"/>
        <v>65.242900000000006</v>
      </c>
      <c r="F75">
        <v>17</v>
      </c>
      <c r="G75" t="s">
        <v>21</v>
      </c>
      <c r="H75">
        <v>53.5</v>
      </c>
      <c r="I75">
        <v>17.5</v>
      </c>
      <c r="J75">
        <f t="shared" si="9"/>
        <v>3.4940000000000002</v>
      </c>
      <c r="K75">
        <v>0</v>
      </c>
      <c r="L75">
        <f t="shared" si="10"/>
        <v>6.4000000000000001E-2</v>
      </c>
      <c r="M75">
        <f t="shared" si="11"/>
        <v>5.5</v>
      </c>
      <c r="N75">
        <f t="shared" si="12"/>
        <v>11.742900000000006</v>
      </c>
      <c r="O75">
        <v>16</v>
      </c>
      <c r="P75">
        <f t="shared" si="13"/>
        <v>17.5</v>
      </c>
      <c r="Q75">
        <f t="shared" si="13"/>
        <v>3.43</v>
      </c>
      <c r="R75">
        <f t="shared" si="14"/>
        <v>100</v>
      </c>
    </row>
    <row r="76" spans="1:18" x14ac:dyDescent="0.15">
      <c r="A76" t="s">
        <v>22</v>
      </c>
      <c r="B76">
        <v>45</v>
      </c>
      <c r="C76">
        <v>19</v>
      </c>
      <c r="D76">
        <v>60.5</v>
      </c>
      <c r="E76">
        <f t="shared" si="8"/>
        <v>66.817599999999999</v>
      </c>
      <c r="F76">
        <v>15.5</v>
      </c>
      <c r="G76" t="s">
        <v>21</v>
      </c>
      <c r="H76">
        <v>67.5</v>
      </c>
      <c r="I76">
        <v>14</v>
      </c>
      <c r="J76">
        <f t="shared" si="9"/>
        <v>2.4160000000000004</v>
      </c>
      <c r="K76">
        <v>6.5</v>
      </c>
      <c r="L76">
        <f t="shared" si="10"/>
        <v>0.76600000000000001</v>
      </c>
      <c r="M76">
        <f t="shared" si="11"/>
        <v>-7</v>
      </c>
      <c r="N76">
        <f t="shared" si="12"/>
        <v>-0.68240000000000123</v>
      </c>
      <c r="O76">
        <v>129</v>
      </c>
      <c r="P76">
        <f t="shared" si="13"/>
        <v>7.5</v>
      </c>
      <c r="Q76">
        <f t="shared" si="13"/>
        <v>1.6500000000000004</v>
      </c>
      <c r="R76">
        <f t="shared" si="14"/>
        <v>53.571428571428569</v>
      </c>
    </row>
    <row r="77" spans="1:18" x14ac:dyDescent="0.15">
      <c r="A77" t="s">
        <v>23</v>
      </c>
      <c r="B77">
        <v>94</v>
      </c>
      <c r="C77">
        <v>41</v>
      </c>
      <c r="D77">
        <v>62</v>
      </c>
      <c r="E77">
        <f t="shared" si="8"/>
        <v>68.392300000000006</v>
      </c>
      <c r="F77">
        <v>17.5</v>
      </c>
      <c r="G77" t="s">
        <v>19</v>
      </c>
      <c r="H77">
        <v>43.5</v>
      </c>
      <c r="I77">
        <v>11</v>
      </c>
      <c r="J77">
        <f t="shared" si="9"/>
        <v>1.6479999999999999</v>
      </c>
      <c r="K77">
        <v>0</v>
      </c>
      <c r="L77">
        <f t="shared" si="10"/>
        <v>6.4000000000000001E-2</v>
      </c>
      <c r="M77">
        <f t="shared" si="11"/>
        <v>18.5</v>
      </c>
      <c r="N77">
        <f t="shared" si="12"/>
        <v>24.892300000000006</v>
      </c>
      <c r="O77">
        <v>42</v>
      </c>
      <c r="P77">
        <f t="shared" si="13"/>
        <v>11</v>
      </c>
      <c r="Q77">
        <f t="shared" si="13"/>
        <v>1.5839999999999999</v>
      </c>
      <c r="R77">
        <f t="shared" si="14"/>
        <v>100</v>
      </c>
    </row>
    <row r="78" spans="1:18" x14ac:dyDescent="0.15">
      <c r="A78" t="s">
        <v>23</v>
      </c>
      <c r="B78">
        <v>95</v>
      </c>
      <c r="C78">
        <v>41</v>
      </c>
      <c r="D78">
        <v>62</v>
      </c>
      <c r="E78">
        <f t="shared" si="8"/>
        <v>68.392300000000006</v>
      </c>
      <c r="F78">
        <v>17.5</v>
      </c>
      <c r="G78" t="s">
        <v>19</v>
      </c>
      <c r="H78">
        <v>45</v>
      </c>
      <c r="I78">
        <v>8</v>
      </c>
      <c r="J78">
        <f t="shared" si="9"/>
        <v>1.024</v>
      </c>
      <c r="K78">
        <v>0</v>
      </c>
      <c r="L78">
        <f t="shared" si="10"/>
        <v>6.4000000000000001E-2</v>
      </c>
      <c r="M78">
        <f t="shared" si="11"/>
        <v>17</v>
      </c>
      <c r="N78">
        <f t="shared" si="12"/>
        <v>23.392300000000006</v>
      </c>
      <c r="O78">
        <v>12</v>
      </c>
      <c r="P78">
        <f t="shared" si="13"/>
        <v>8</v>
      </c>
      <c r="Q78">
        <f t="shared" si="13"/>
        <v>0.96</v>
      </c>
      <c r="R78">
        <f t="shared" si="14"/>
        <v>100</v>
      </c>
    </row>
    <row r="79" spans="1:18" x14ac:dyDescent="0.15">
      <c r="A79" t="s">
        <v>23</v>
      </c>
      <c r="B79">
        <v>96</v>
      </c>
      <c r="C79">
        <v>41</v>
      </c>
      <c r="D79">
        <v>62</v>
      </c>
      <c r="E79">
        <f t="shared" si="8"/>
        <v>68.392300000000006</v>
      </c>
      <c r="F79">
        <v>17.5</v>
      </c>
      <c r="G79" t="s">
        <v>19</v>
      </c>
      <c r="H79">
        <v>45</v>
      </c>
      <c r="I79">
        <v>7.5</v>
      </c>
      <c r="J79">
        <f t="shared" si="9"/>
        <v>0.93399999999999994</v>
      </c>
      <c r="K79">
        <v>0</v>
      </c>
      <c r="L79">
        <f t="shared" si="10"/>
        <v>6.4000000000000001E-2</v>
      </c>
      <c r="M79">
        <f t="shared" si="11"/>
        <v>17</v>
      </c>
      <c r="N79">
        <f t="shared" si="12"/>
        <v>23.392300000000006</v>
      </c>
      <c r="O79">
        <v>2</v>
      </c>
      <c r="P79">
        <f t="shared" si="13"/>
        <v>7.5</v>
      </c>
      <c r="Q79">
        <f t="shared" si="13"/>
        <v>0.86999999999999988</v>
      </c>
      <c r="R79">
        <f t="shared" si="14"/>
        <v>100</v>
      </c>
    </row>
    <row r="80" spans="1:18" x14ac:dyDescent="0.15">
      <c r="A80" t="s">
        <v>18</v>
      </c>
      <c r="B80">
        <v>31</v>
      </c>
      <c r="C80">
        <v>14</v>
      </c>
      <c r="D80">
        <v>64</v>
      </c>
      <c r="E80">
        <f t="shared" si="8"/>
        <v>70.491900000000001</v>
      </c>
      <c r="F80">
        <v>17</v>
      </c>
      <c r="G80" t="s">
        <v>21</v>
      </c>
      <c r="H80">
        <v>46</v>
      </c>
      <c r="I80">
        <v>12</v>
      </c>
      <c r="J80">
        <f t="shared" si="9"/>
        <v>1.8880000000000001</v>
      </c>
      <c r="K80">
        <v>0</v>
      </c>
      <c r="L80">
        <f t="shared" si="10"/>
        <v>6.4000000000000001E-2</v>
      </c>
      <c r="M80">
        <f t="shared" si="11"/>
        <v>18</v>
      </c>
      <c r="N80">
        <f t="shared" si="12"/>
        <v>24.491900000000001</v>
      </c>
      <c r="O80">
        <v>1</v>
      </c>
      <c r="P80">
        <f t="shared" si="13"/>
        <v>12</v>
      </c>
      <c r="Q80">
        <f t="shared" si="13"/>
        <v>1.8240000000000001</v>
      </c>
      <c r="R80">
        <f t="shared" si="14"/>
        <v>100</v>
      </c>
    </row>
    <row r="81" spans="1:18" x14ac:dyDescent="0.15">
      <c r="A81" t="s">
        <v>18</v>
      </c>
      <c r="B81">
        <v>32</v>
      </c>
      <c r="C81">
        <v>14</v>
      </c>
      <c r="D81">
        <v>64</v>
      </c>
      <c r="E81">
        <f t="shared" si="8"/>
        <v>70.491900000000001</v>
      </c>
      <c r="F81">
        <v>17</v>
      </c>
      <c r="G81" t="s">
        <v>21</v>
      </c>
      <c r="H81">
        <v>46.5</v>
      </c>
      <c r="I81">
        <v>13.5</v>
      </c>
      <c r="J81">
        <f t="shared" si="9"/>
        <v>2.278</v>
      </c>
      <c r="K81">
        <v>0</v>
      </c>
      <c r="L81">
        <f t="shared" si="10"/>
        <v>6.4000000000000001E-2</v>
      </c>
      <c r="M81">
        <f t="shared" si="11"/>
        <v>17.5</v>
      </c>
      <c r="N81">
        <f t="shared" si="12"/>
        <v>23.991900000000001</v>
      </c>
      <c r="O81">
        <v>48</v>
      </c>
      <c r="P81">
        <f t="shared" si="13"/>
        <v>13.5</v>
      </c>
      <c r="Q81">
        <f t="shared" si="13"/>
        <v>2.214</v>
      </c>
      <c r="R81">
        <f t="shared" si="14"/>
        <v>100</v>
      </c>
    </row>
    <row r="82" spans="1:18" x14ac:dyDescent="0.15">
      <c r="A82" t="s">
        <v>18</v>
      </c>
      <c r="B82">
        <v>33</v>
      </c>
      <c r="C82">
        <v>14</v>
      </c>
      <c r="D82">
        <v>64</v>
      </c>
      <c r="E82">
        <f t="shared" si="8"/>
        <v>70.491900000000001</v>
      </c>
      <c r="F82">
        <v>17</v>
      </c>
      <c r="G82" t="s">
        <v>21</v>
      </c>
      <c r="H82">
        <v>51</v>
      </c>
      <c r="I82">
        <v>7.5</v>
      </c>
      <c r="J82">
        <f t="shared" si="9"/>
        <v>0.93399999999999994</v>
      </c>
      <c r="K82">
        <v>0</v>
      </c>
      <c r="L82">
        <f t="shared" si="10"/>
        <v>6.4000000000000001E-2</v>
      </c>
      <c r="M82">
        <f t="shared" si="11"/>
        <v>13</v>
      </c>
      <c r="N82">
        <f t="shared" si="12"/>
        <v>19.491900000000001</v>
      </c>
      <c r="O82">
        <v>39</v>
      </c>
      <c r="P82">
        <f t="shared" si="13"/>
        <v>7.5</v>
      </c>
      <c r="Q82">
        <f t="shared" si="13"/>
        <v>0.86999999999999988</v>
      </c>
      <c r="R82">
        <f t="shared" si="14"/>
        <v>100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PRELIMINARY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Pauw</dc:creator>
  <cp:lastModifiedBy>Anton Pauw</cp:lastModifiedBy>
  <dcterms:created xsi:type="dcterms:W3CDTF">2009-12-01T11:14:14Z</dcterms:created>
  <dcterms:modified xsi:type="dcterms:W3CDTF">2017-07-12T07:15:15Z</dcterms:modified>
</cp:coreProperties>
</file>